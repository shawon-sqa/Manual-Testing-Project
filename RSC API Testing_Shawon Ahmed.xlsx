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_Api" sheetId="1" r:id="rId4"/>
    <sheet state="visible" name="Login &amp; Token Refresh" sheetId="2" r:id="rId5"/>
    <sheet state="visible" name="Service Categories" sheetId="3" r:id="rId6"/>
    <sheet state="visible" name="Service Parts " sheetId="4" r:id="rId7"/>
    <sheet state="visible" name="Service Order" sheetId="5" r:id="rId8"/>
    <sheet state="visible" name="Marketing  Leads Management" sheetId="6" r:id="rId9"/>
  </sheets>
  <definedNames/>
  <calcPr/>
</workbook>
</file>

<file path=xl/sharedStrings.xml><?xml version="1.0" encoding="utf-8"?>
<sst xmlns="http://schemas.openxmlformats.org/spreadsheetml/2006/main" count="842" uniqueCount="415">
  <si>
    <t>Product Name</t>
  </si>
  <si>
    <t>https://repair.genzsoft.top/</t>
  </si>
  <si>
    <t>TC Start Date</t>
  </si>
  <si>
    <t>TC Execution Start Date</t>
  </si>
  <si>
    <t>TEST CASE SUMMARY</t>
  </si>
  <si>
    <t>Module Name</t>
  </si>
  <si>
    <t>API</t>
  </si>
  <si>
    <t>TC End Date</t>
  </si>
  <si>
    <t>Running</t>
  </si>
  <si>
    <t>TC Execution End Date</t>
  </si>
  <si>
    <t>PASS</t>
  </si>
  <si>
    <t>Developer Name (TL)</t>
  </si>
  <si>
    <t>Test Case Developed By</t>
  </si>
  <si>
    <t>Md Shawon Amed</t>
  </si>
  <si>
    <t>Browser (Tested)</t>
  </si>
  <si>
    <t>Chrome</t>
  </si>
  <si>
    <t>FAIL</t>
  </si>
  <si>
    <t>Test Executed By</t>
  </si>
  <si>
    <t>Md ShawonAhmed</t>
  </si>
  <si>
    <t>Test Case Reviewed By</t>
  </si>
  <si>
    <t>Performance (Tested)</t>
  </si>
  <si>
    <t>WARNING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</si>
  <si>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</si>
  <si>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TOTAL</t>
  </si>
  <si>
    <t>Bug ID</t>
  </si>
  <si>
    <t>API Endpoint / URL</t>
  </si>
  <si>
    <t>Module / Feature</t>
  </si>
  <si>
    <t>Test Case ID</t>
  </si>
  <si>
    <t>Test Data / Request Body</t>
  </si>
  <si>
    <t>Request Type</t>
  </si>
  <si>
    <t>Expected Response</t>
  </si>
  <si>
    <t>Actual Response</t>
  </si>
  <si>
    <t>Status Code</t>
  </si>
  <si>
    <t>Severity</t>
  </si>
  <si>
    <t>Priority</t>
  </si>
  <si>
    <t>Status</t>
  </si>
  <si>
    <t>Steps to Reproduce</t>
  </si>
  <si>
    <t>Screenshot</t>
  </si>
  <si>
    <t>Comments</t>
  </si>
  <si>
    <t>REG-001</t>
  </si>
  <si>
    <t>POST /users/register/</t>
  </si>
  <si>
    <t>User Registration</t>
  </si>
  <si>
    <t>REG-01-Positive</t>
  </si>
  <si>
    <t>{ "username": "shawon_owner", "password": "shawon123", "email": "shawon_owner@gmail.com", "first_name": "Shawon", "last_name": "Ahmed", "role": "OWNER", "phone_number": "01710000000" }</t>
  </si>
  <si>
    <t>POST</t>
  </si>
  <si>
    <t>201 Created + user info without password</t>
  </si>
  <si>
    <t>201 Created + user info returned correctly</t>
  </si>
  <si>
    <t>Pass</t>
  </si>
  <si>
    <t>1) Open Postman
2) POST /users/register/
3) Add headers &amp; body
4) Send request</t>
  </si>
  <si>
    <t>reg_positive.png</t>
  </si>
  <si>
    <t>Successfully registered new user</t>
  </si>
  <si>
    <t>REG-002</t>
  </si>
  <si>
    <t>REG-02-MissingField</t>
  </si>
  <si>
    <t>{ "username": "shawon_no_pass", "email": "shawon_nopass@gmail.com", "role": "OWNER" }</t>
  </si>
  <si>
    <t>400 Bad Request + "password": ["This field is required."]</t>
  </si>
  <si>
    <t>Returned validation error correctly</t>
  </si>
  <si>
    <t>Minor</t>
  </si>
  <si>
    <t>Medium</t>
  </si>
  <si>
    <t>1) Remove password field2) Send POST request3) Observe 400 error</t>
  </si>
  <si>
    <t>reg_missing_field.png</t>
  </si>
  <si>
    <t>Validation message shown correctly</t>
  </si>
  <si>
    <t>REG-003</t>
  </si>
  <si>
    <t>REG-03-DuplicateUser</t>
  </si>
  <si>
    <t>{ "username": "shawon_owner", "password": "shawon123", "email": "another@gmail.com", "role": "OWNER" }</t>
  </si>
  <si>
    <t>400 or 409 + "username already exists"</t>
  </si>
  <si>
    <t>Returned proper duplicate username error</t>
  </si>
  <si>
    <t>Major</t>
  </si>
  <si>
    <t>High</t>
  </si>
  <si>
    <t>1) Try same username again2) Send POST request3) Observe duplicate error</t>
  </si>
  <si>
    <t>reg_duplicate.png</t>
  </si>
  <si>
    <t>Duplicate username handled correctly</t>
  </si>
  <si>
    <t>REG-004</t>
  </si>
  <si>
    <t>REG-04-InvalidEmail</t>
  </si>
  <si>
    <t>{ "username": "wrong_email", "password": "pass123", "email": "wrongemail.com", "role": "CUSTOMER" }</t>
  </si>
  <si>
    <t>400 Bad Request + "Enter a valid email address."</t>
  </si>
  <si>
    <t>Returned proper email validation error</t>
  </si>
  <si>
    <t>1) Use invalid email format2) Send POST request3) Observe 400</t>
  </si>
  <si>
    <t>reg_invalid_email.png</t>
  </si>
  <si>
    <t>Email validation working fine</t>
  </si>
  <si>
    <t>REG-005</t>
  </si>
  <si>
    <t>REG-05-PasswordNotReturned</t>
  </si>
  <si>
    <t>{ "username": "shawon_test", "password": "pass123", "email": "shawon_test@gmail.com", "role": "CUSTOMER" }</t>
  </si>
  <si>
    <t>Response must not contain password field</t>
  </si>
  <si>
    <t>Response does not include password</t>
  </si>
  <si>
    <t>1) Create new user2) Observe response JSON3) Check no password present</t>
  </si>
  <si>
    <t>reg_no_password.png</t>
  </si>
  <si>
    <t>Password hidden as expected</t>
  </si>
  <si>
    <t>REG-006</t>
  </si>
  <si>
    <t>REG-06-RoleFieldCheck</t>
  </si>
  <si>
    <t>{ "username": "marketer1", "password": "pass123", "email": "marketer1@gmail.com", "role": "MARKETER" }</t>
  </si>
  <si>
    <t>Response should include role MARKETER</t>
  </si>
  <si>
    <t>Response includes correct role value</t>
  </si>
  <si>
    <t>1) Create user with MARKETER role2) Observe response JSON</t>
  </si>
  <si>
    <t>reg_role_check.png</t>
  </si>
  <si>
    <t>Role stored correctly</t>
  </si>
  <si>
    <t>REG-007</t>
  </si>
  <si>
    <t>REG-07-EmailFormatCheck</t>
  </si>
  <si>
    <t>{ "username": "valid_email", "password": "pass123", "email": "valid@mail.com", "role": "CUSTOMER" }</t>
  </si>
  <si>
    <t>Valid email accepted, 201 Created</t>
  </si>
  <si>
    <t>201 Created received</t>
  </si>
  <si>
    <t>1) Use valid email2) Send request3) Observe success</t>
  </si>
  <si>
    <t>reg_email_valid.png</t>
  </si>
  <si>
    <t>Email format works properly</t>
  </si>
  <si>
    <t>REG-008</t>
  </si>
  <si>
    <t>REG-08-DuplicateEmail</t>
  </si>
  <si>
    <t>{ "username": "new_user", "password": "pass123", "email": "shawon_owner@gmail.com", "role": "CUSTOMER" }</t>
  </si>
  <si>
    <t>400 Bad Request with message "A user with that email already exists."</t>
  </si>
  <si>
    <t>API allowed registration with an already registered email (created new user successfully).</t>
  </si>
  <si>
    <t>Fail</t>
  </si>
  <si>
    <t>1) Register a new user using existing email (shawon_owner@gmail.com)
2) Send POST /users/register/ request
3) Observe the response</t>
  </si>
  <si>
    <t>duplicate_email_bug.png</t>
  </si>
  <si>
    <t>System should not allow duplicate emails across accounts — needs backend validation.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</si>
  <si>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</si>
  <si>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AUTH-001</t>
  </si>
  <si>
    <t>POST /token/</t>
  </si>
  <si>
    <t>Authentication</t>
  </si>
  <si>
    <t>AUTH-01-ValidLogin</t>
  </si>
  <si>
    <t>{ "username": "shawon_owner", "password": "shawon123" }</t>
  </si>
  <si>
    <t>200 OK + access &amp; refresh tokens</t>
  </si>
  <si>
    <t>200 OK + tokens returned successfully</t>
  </si>
  <si>
    <t>1) Open Postman 
2) Add valid username &amp; password 
3) Send request</t>
  </si>
  <si>
    <t>auth_valid_login.png</t>
  </si>
  <si>
    <t>Login successful</t>
  </si>
  <si>
    <t>AUTH-002</t>
  </si>
  <si>
    <t>AUTH-02-MissingPassword</t>
  </si>
  <si>
    <t>{ "username": "shawon_owner" }</t>
  </si>
  <si>
    <t>400 Bad Request</t>
  </si>
  <si>
    <t>400 Bad Request + field error</t>
  </si>
  <si>
    <t>1) Remove password 
2) Send request 
3) Observe validation error</t>
  </si>
  <si>
    <t>auth_missing_pass.png</t>
  </si>
  <si>
    <t>Validation working fine</t>
  </si>
  <si>
    <t>AUTH-003</t>
  </si>
  <si>
    <t>AUTH-03-WrongPassword</t>
  </si>
  <si>
    <t>{ "username": "shawon_owner", "password": "wrong123" }</t>
  </si>
  <si>
    <t>401 Unauthorized</t>
  </si>
  <si>
    <t>401 Unauthorized received</t>
  </si>
  <si>
    <t>1) Use wrong password 
2) Send request</t>
  </si>
  <si>
    <t>auth_wrong_pass.png</t>
  </si>
  <si>
    <t>Incorrect credentials handled correctly</t>
  </si>
  <si>
    <t>AUTH-004</t>
  </si>
  <si>
    <t>AUTH-04-InvalidUsername</t>
  </si>
  <si>
    <t>{ "username": "wrong_user", "password": "shawon123" }</t>
  </si>
  <si>
    <t>1) Use invalid username 
2) Send request</t>
  </si>
  <si>
    <t>auth_invalid_user.png</t>
  </si>
  <si>
    <t>Invalid user handled correctly</t>
  </si>
  <si>
    <t>AUTH-005</t>
  </si>
  <si>
    <t>POST /token/refresh/</t>
  </si>
  <si>
    <t>AUTH-05-ValidRefresh</t>
  </si>
  <si>
    <t>{ "refresh": "{{refresh_token}}" }</t>
  </si>
  <si>
    <t>200 OK + new access token</t>
  </si>
  <si>
    <t>200 OK + new access token returned</t>
  </si>
  <si>
    <t>1) Copy valid refresh token 2) Send POST /token/refresh/</t>
  </si>
  <si>
    <t>auth_refresh_valid.png</t>
  </si>
  <si>
    <t>Token refreshed successfully</t>
  </si>
  <si>
    <t>AUTH-006</t>
  </si>
  <si>
    <t>AUTH-06-InvalidRefreshToken</t>
  </si>
  <si>
    <t>{ "refresh": "invalidtoken123" }</t>
  </si>
  <si>
    <t>1) Use wrong refresh token 2) Send request</t>
  </si>
  <si>
    <t>auth_invalid_refresh.png</t>
  </si>
  <si>
    <t>Proper error for invalid refresh token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</si>
  <si>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</si>
  <si>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CAT-001</t>
  </si>
  <si>
    <t>POST /services/categories/</t>
  </si>
  <si>
    <t>Service Categories</t>
  </si>
  <si>
    <t>CAT-01-Create</t>
  </si>
  <si>
    <t>{ "name": "Desktop Repair", "description": "All types of desktop servicing" }</t>
  </si>
  <si>
    <t>201 Created + category info</t>
  </si>
  <si>
    <t>201 Created + correct response</t>
  </si>
  <si>
    <t>1) Login as Owner 
2) Send POST request 
3) Observe response</t>
  </si>
  <si>
    <t>cat_create.png</t>
  </si>
  <si>
    <t>Category created successfully</t>
  </si>
  <si>
    <t>CAT-002</t>
  </si>
  <si>
    <t>CAT-02-Create_case-sensitive</t>
  </si>
  <si>
    <t>1. Setup: { "name": "Mobile Service" } 2. Test: { "name": "mobile service" }</t>
  </si>
  <si>
    <t>The API should return 400 Bad Request with validation error and not create the second category</t>
  </si>
  <si>
    <t>The API returned 201 Created. Two separate categories were created: "Mobile Service" and "mobile service".</t>
  </si>
  <si>
    <t>Observation</t>
  </si>
  <si>
    <t>1. Setup: Send a POST request to /categories/ (as OWNER) with "Mobile Service" and verify 201 Created. 
2. Test: Send a second POST request with the exact same name in lowercase ("mobile service")</t>
  </si>
  <si>
    <t>The name field is case-sensitive, allowing duplicate categories that differ only by case. This violates the business requirement for unique category identification.</t>
  </si>
  <si>
    <t>CAT-003</t>
  </si>
  <si>
    <t>CAT-03-MissingName</t>
  </si>
  <si>
    <t>{ "description": "Service without name" }</t>
  </si>
  <si>
    <t>400 Bad Request + name required</t>
  </si>
  <si>
    <t>400 Bad Request + name validation error</t>
  </si>
  <si>
    <t>1) Remove name field 
2) Send POST 
3) Observe 400</t>
  </si>
  <si>
    <t>cat_missing_name.png</t>
  </si>
  <si>
    <t>CAT-004</t>
  </si>
  <si>
    <t>GET /services/categories/</t>
  </si>
  <si>
    <t>CAT-04-List</t>
  </si>
  <si>
    <t>-</t>
  </si>
  <si>
    <t>GET</t>
  </si>
  <si>
    <t>200 OK + array of categories</t>
  </si>
  <si>
    <t>200 OK + list includes created category</t>
  </si>
  <si>
    <t>1) Send GET request 
2) Observe list</t>
  </si>
  <si>
    <t>cat_list.png</t>
  </si>
  <si>
    <t>All categories displayed correctly</t>
  </si>
  <si>
    <t>CAT-005</t>
  </si>
  <si>
    <t>GET /services/categories/{id}/</t>
  </si>
  <si>
    <t>CAT-05-GetSingle</t>
  </si>
  <si>
    <t>200 OK + category details</t>
  </si>
  <si>
    <t>200 OK + correct category info</t>
  </si>
  <si>
    <t>1) Send GET by ID 
2) Observe response</t>
  </si>
  <si>
    <t>cat_single.png</t>
  </si>
  <si>
    <t>Single category fetched properly</t>
  </si>
  <si>
    <t>CAT-006</t>
  </si>
  <si>
    <t>PATCH /services/categories/{id}/</t>
  </si>
  <si>
    <t>CAT-06-Update</t>
  </si>
  <si>
    <t>{ "description": "Updated desktop service description" }</t>
  </si>
  <si>
    <t>PATCH</t>
  </si>
  <si>
    <t>200 OK + updated info</t>
  </si>
  <si>
    <t>200 OK + updated description</t>
  </si>
  <si>
    <t>1) Send PATCH with updated description 
2) Observe response</t>
  </si>
  <si>
    <t>cat_update.png</t>
  </si>
  <si>
    <t>Category updated successfully</t>
  </si>
  <si>
    <t>CAT-007</t>
  </si>
  <si>
    <t>DELETE /services/categories/{id}/</t>
  </si>
  <si>
    <t>CAT-07-Delete</t>
  </si>
  <si>
    <t>DELETE.</t>
  </si>
  <si>
    <t>204 No Content</t>
  </si>
  <si>
    <t>1) Send DELETE request 
2) Verify GET returns 404</t>
  </si>
  <si>
    <t>cat_delete.png</t>
  </si>
  <si>
    <t>Category deleted successfully</t>
  </si>
  <si>
    <t>CAT-008</t>
  </si>
  <si>
    <t xml:space="preserve">  CAT-08-SEC-01-SQLInjectionTest1</t>
  </si>
  <si>
    <t>{ "name": "Laptop'; DROP TABLE users; --", "description": "SQLi test 1" }</t>
  </si>
  <si>
    <t>400 Bad Request or sanitized string</t>
  </si>
  <si>
    <t>API accepted value and stored raw SQL pattern</t>
  </si>
  <si>
    <t>Critical</t>
  </si>
  <si>
    <t>1) Send POST with SQL payload 
2) Check if accepted</t>
  </si>
  <si>
    <t>cat_sql_1.png</t>
  </si>
  <si>
    <t>API does not sanitize SQL characters</t>
  </si>
  <si>
    <t>CAT-009</t>
  </si>
  <si>
    <t>CAT-09-SEC-02-SQLInjectionTest2</t>
  </si>
  <si>
    <t>{ "name": "Desktop Repair'; SELECT * FROM users WHERE '1'='1", "description": "SQLi test 2" }</t>
  </si>
  <si>
    <t>400 Bad Request or sanitize</t>
  </si>
  <si>
    <t>API accepted unfiltered SQL syntax</t>
  </si>
  <si>
    <t>1) Send POST with SQL injection-like string 
2) Observe response</t>
  </si>
  <si>
    <t>cat_sql_2.png</t>
  </si>
  <si>
    <t>SQL injection pattern accepted (potential vulnerability)</t>
  </si>
  <si>
    <t>CAT-010</t>
  </si>
  <si>
    <t>CAT-10SEC-03-XSSInjection</t>
  </si>
  <si>
    <t>{ "name": "&lt;script&gt;alert('XSS')&lt;/script&gt;", "description": "XSS test injection" }</t>
  </si>
  <si>
    <t>400 Bad Request or sanitized string (HTML tags escaped)</t>
  </si>
  <si>
    <t>API accepted raw HTML without sanitizing or rejecting</t>
  </si>
  <si>
    <t>1) Login as Owner 
2) Send POST with HTML &lt;script&gt; in name 
3) Observe that response stores raw HTML</t>
  </si>
  <si>
    <t>cat_xss.png</t>
  </si>
  <si>
    <t>XSS vulnerability — API does not sanitize or block HTML/JS input, potential script injection risk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</si>
  <si>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</si>
  <si>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PART-001</t>
  </si>
  <si>
    <t>POST /services/parts/</t>
  </si>
  <si>
    <t>Parts / Inventory</t>
  </si>
  <si>
    <t>PART-01-Create</t>
  </si>
  <si>
    <t>{ "name": "Laptop Fan", "cost": "500.00", "stock_quantity": 10, "brand": "Dell" }</t>
  </si>
  <si>
    <t>201 Created + part info</t>
  </si>
  <si>
    <t>1) Login as Owner 
2) Send POST /services/parts/</t>
  </si>
  <si>
    <t>part_create.png</t>
  </si>
  <si>
    <t>Part created successfully</t>
  </si>
  <si>
    <t>PART-002</t>
  </si>
  <si>
    <t>PART-02-MissingName</t>
  </si>
  <si>
    <t>{ "cost": "400.00", "stock_quantity": 5 }</t>
  </si>
  <si>
    <t>400 Bad Request + proper validation error</t>
  </si>
  <si>
    <t>1) Remove name field 
2) Send POST</t>
  </si>
  <si>
    <t>part_missing_name.png</t>
  </si>
  <si>
    <t>Validation message correct</t>
  </si>
  <si>
    <t>PART-003</t>
  </si>
  <si>
    <t>PART-03-NegativeStock</t>
  </si>
  <si>
    <t>{ "name": "Hard Disk", "cost": "2000.00", "stock_quantity": -5 }</t>
  </si>
  <si>
    <t>1) Send POST with negative stock</t>
  </si>
  <si>
    <t>part_negative_stock.png</t>
  </si>
  <si>
    <t>Stock validation works properly</t>
  </si>
  <si>
    <t>PART-004</t>
  </si>
  <si>
    <t>GET /services/parts/</t>
  </si>
  <si>
    <t>PART-04-List</t>
  </si>
  <si>
    <t>200 OK + array of parts</t>
  </si>
  <si>
    <t>200 OK + list includes created part</t>
  </si>
  <si>
    <t>1) Send GET /services/parts/</t>
  </si>
  <si>
    <t>part_list.png</t>
  </si>
  <si>
    <t>All parts displayed correctly</t>
  </si>
  <si>
    <t>PART-005</t>
  </si>
  <si>
    <t>GET /services/parts/{id}/</t>
  </si>
  <si>
    <t>PART-05-GetSingle</t>
  </si>
  <si>
    <t>200 OK + part details</t>
  </si>
  <si>
    <t>200 OK + correct part info</t>
  </si>
  <si>
    <t>1) Send GET /services/parts/{id}/</t>
  </si>
  <si>
    <t>part_single.png</t>
  </si>
  <si>
    <t>Single part fetched correctly</t>
  </si>
  <si>
    <t>PART-006</t>
  </si>
  <si>
    <t>PATCH /services/parts/{id}/</t>
  </si>
  <si>
    <t>PART-06-Update</t>
  </si>
  <si>
    <t>{ "cost": "600.00", "stock_quantity": 12 }</t>
  </si>
  <si>
    <t>200 OK + updated data</t>
  </si>
  <si>
    <t>200 OK + updated cost &amp; stock</t>
  </si>
  <si>
    <t>1) Send PATCH to update part</t>
  </si>
  <si>
    <t>part_update.png</t>
  </si>
  <si>
    <t>Part updated successfully</t>
  </si>
  <si>
    <t>PART-007</t>
  </si>
  <si>
    <t>DELETE /services/parts/{id}/</t>
  </si>
  <si>
    <t>PART-07-Delete</t>
  </si>
  <si>
    <t>1) Send DELETE /services/parts/{id}/ 
2) Confirm GET → 404</t>
  </si>
  <si>
    <t>part_delete.png</t>
  </si>
  <si>
    <t>Part deleted successfully</t>
  </si>
  <si>
    <t>PART-008</t>
  </si>
  <si>
    <t>PART-VAL-10-DuplicateSKU</t>
  </si>
  <si>
    <t>{ "name": "Laptop Fan", "sku": "FAN001", "cost": "500.00", "stock_quantity": 10 } (first request)
{ "name": "CPU Fan", "sku": "FAN001", "cost": "600.00", "stock_quantity": 8 } (second request)</t>
  </si>
  <si>
    <t>Should return 400 Bad Request — SKU must be unique</t>
  </si>
  <si>
    <t>API accepted duplicate SKU value</t>
  </si>
  <si>
    <t>1) Create first part with SKU FAN001 
2) Create second part with same SKU 
3) Observe API accepts duplicate</t>
  </si>
  <si>
    <t>part_duplicate_sku.png</t>
  </si>
  <si>
    <t>Unique constraint missing — duplicate SKU allowed (data inconsistency risk)</t>
  </si>
  <si>
    <t>PART-009</t>
  </si>
  <si>
    <t>PART-VAL-11-NegativeCost</t>
  </si>
  <si>
    <t>{ "name": "Motherboard", "sku": "MB001", "cost": "-100.00", "stock_quantity": 5 }</t>
  </si>
  <si>
    <t>Should return 400 Bad Request — cost must be &gt;= 0</t>
  </si>
  <si>
    <t>API accepted negative 
cost value</t>
  </si>
  <si>
    <t>1) Send POST with negative cost 
2) Observe API accepts or saves value</t>
  </si>
  <si>
    <t>part_negative_cost.png</t>
  </si>
  <si>
    <t>Cost validation missing — allows invalid negative price</t>
  </si>
  <si>
    <t>PART-010</t>
  </si>
  <si>
    <t>PART-SEC-01-SQLInjection</t>
  </si>
  <si>
    <t>{ "name": "GPU'; DROP TABLE parts; --", "sku": "SQL001", "cost": "500.00" }</t>
  </si>
  <si>
    <t>Should reject SQL injection</t>
  </si>
  <si>
    <t>API accepted SQL payload</t>
  </si>
  <si>
    <t>1) Send SQL-like payload</t>
  </si>
  <si>
    <t>part_sql.png</t>
  </si>
  <si>
    <t>SQL Injection vulnerability</t>
  </si>
  <si>
    <t>PART-011</t>
  </si>
  <si>
    <t>PART-SEC-02-XSSInjection</t>
  </si>
  <si>
    <t>{ "name": "&lt;script&gt;alert('XSS')&lt;/script&gt;", "sku": "XSS01", "cost": "100.00" }</t>
  </si>
  <si>
    <t>Should sanitize &lt;script&gt;</t>
  </si>
  <si>
    <t>API stored raw HTML</t>
  </si>
  <si>
    <t>1) Inject &lt;script&gt; 
2) Observe HTML saved</t>
  </si>
  <si>
    <t>part_xss.png</t>
  </si>
  <si>
    <t>XSS vulnerability in name field</t>
  </si>
  <si>
    <t>PART-012</t>
  </si>
  <si>
    <t xml:space="preserve"> PART-VAL-01-InvalidCategoryID</t>
  </si>
  <si>
    <t>{ "name": "SSD Drive", "sku": "SSD001", "cost": "2500", "category_id": "9999" }</t>
  </si>
  <si>
    <t>Should return 400 (invalid foreign key)</t>
  </si>
  <si>
    <t>API accepted non-existing category_id</t>
  </si>
  <si>
    <t>1) Use invalid category id</t>
  </si>
  <si>
    <t>part_invalid_cat.png</t>
  </si>
  <si>
    <t>Foreign key constraint missing</t>
  </si>
  <si>
    <t>PART-013</t>
  </si>
  <si>
    <t>PART-PERF-02-RapidCreate</t>
  </si>
  <si>
    <t>(same valid data, repeated 10x quickly)</t>
  </si>
  <si>
    <t>Should prevent duplicates or rate-limit</t>
  </si>
  <si>
    <t>API accepted all</t>
  </si>
  <si>
    <t>1) Send multiple POSTs quickly</t>
  </si>
  <si>
    <t>part_rate_limit.png</t>
  </si>
  <si>
    <t>No rate limit or duplicate prevention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</si>
  <si>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</si>
  <si>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ORD-BUG-001</t>
  </si>
  <si>
    <t>ORD-VAL-01-MissingUserID</t>
  </si>
  <si>
    <t>{ "username": "shawon2", "password": "1234", "email": "shawon@gmail.com" }</t>
  </si>
  <si>
    <t>Response should include unique id field</t>
  </si>
  <si>
    <t>API response missing id</t>
  </si>
  <si>
    <t>1) Register user 
2) Check response JSON</t>
  </si>
  <si>
    <t>ord_missing_id.png</t>
  </si>
  <si>
    <t>Missing user identifier in response</t>
  </si>
  <si>
    <t>ORD-BUG-002</t>
  </si>
  <si>
    <t>POST /orders/</t>
  </si>
  <si>
    <t>Orders</t>
  </si>
  <si>
    <t>ORD-SEC-01-SQLInjection</t>
  </si>
  <si>
    <t>{ "issue_description": "test'; DROP TABLE orders; --" }</t>
  </si>
  <si>
    <t>Should reject SQL syntax</t>
  </si>
  <si>
    <t>API accepted payload</t>
  </si>
  <si>
    <t>1) Inject SQL code in text field</t>
  </si>
  <si>
    <t>ord_sql.png</t>
  </si>
  <si>
    <t>SQL Injection risk</t>
  </si>
  <si>
    <t>ORD-BUG-003</t>
  </si>
  <si>
    <t>ORD-SEC-02-XSSInjection</t>
  </si>
  <si>
    <t>{ "issue_description": "&lt;script&gt;alert('XSS')&lt;/script&gt;" }</t>
  </si>
  <si>
    <t>Should reject HTML/JS tags</t>
  </si>
  <si>
    <t>API accepted raw HTM</t>
  </si>
  <si>
    <t>1) Inject &lt;script&gt; tag</t>
  </si>
  <si>
    <t>ord_xss.png</t>
  </si>
  <si>
    <t>XSS vulnerability</t>
  </si>
  <si>
    <t>ORD-BUG-004</t>
  </si>
  <si>
    <t xml:space="preserve"> </t>
  </si>
  <si>
    <r>
      <rPr>
        <rFont val="Arial"/>
        <color theme="1"/>
        <sz val="12.0"/>
      </rPr>
      <t xml:space="preserve">                </t>
    </r>
    <r>
      <rPr>
        <rFont val="Arial"/>
        <b/>
        <color rgb="FF0000FF"/>
        <sz val="17.0"/>
      </rPr>
      <t xml:space="preserve">  Functional Testing</t>
    </r>
  </si>
  <si>
    <t>MKT-BUG-001</t>
  </si>
  <si>
    <t>POST /marketing/leads/</t>
  </si>
  <si>
    <t>Lead Creation</t>
  </si>
  <si>
    <t>MKT-SEC-01-SQL
Injection</t>
  </si>
  <si>
    <t>{ "first_name": "John'; DROP TABLE leads; --" }</t>
  </si>
  <si>
    <t>Should reject SQL-like input</t>
  </si>
  <si>
    <t>API accepted SQL pattern</t>
  </si>
  <si>
    <t>1) Inject SQL payload</t>
  </si>
  <si>
    <t>mkt_sql.png</t>
  </si>
  <si>
    <t>SQL injection vulnerability</t>
  </si>
  <si>
    <t>MKT-BUG-002</t>
  </si>
  <si>
    <t>MKT-SEC-02-XSS
Injection</t>
  </si>
  <si>
    <t>{ "first_name": "&lt;script&gt;alert('XSS')&lt;/script&gt;" }</t>
  </si>
  <si>
    <t>Should reject HTML tags</t>
  </si>
  <si>
    <t>API accepted raw HTML</t>
  </si>
  <si>
    <t>1) Send POST with &lt;script&gt; tag</t>
  </si>
  <si>
    <t>mkt_xss.png</t>
  </si>
  <si>
    <t>XSS vulnerability in text fields</t>
  </si>
  <si>
    <t>MKT-BUG-003</t>
  </si>
  <si>
    <t>MKT-VAL-04-PhoneValidation</t>
  </si>
  <si>
    <t>{ "phone_number": "abcd123" }</t>
  </si>
  <si>
    <t>Should reject non-numeric phone</t>
  </si>
  <si>
    <t>API accepted invalid phone</t>
  </si>
  <si>
    <t>1) Enter non-numeric phone</t>
  </si>
  <si>
    <t>mkt_phone.png</t>
  </si>
  <si>
    <t>Phone number validation missing</t>
  </si>
  <si>
    <t>MKT-BUG-004</t>
  </si>
  <si>
    <t>BUG-010
PUT /marketing/leads/{id}/</t>
  </si>
  <si>
    <t>Lead Update</t>
  </si>
  <si>
    <t>MKT-VAL-05-EmptyUpdate</t>
  </si>
  <si>
    <t>{}</t>
  </si>
  <si>
    <t>Should return 400 or unchanged data</t>
  </si>
  <si>
    <t>API overwrote with blanks</t>
  </si>
  <si>
    <t>Low</t>
  </si>
  <si>
    <t>1) Send empty update</t>
  </si>
  <si>
    <t>mkt_update_blank.png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</si>
</sst>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u/>
      <sz val="12.0"/>
      <color rgb="FF1155CC"/>
      <name val="Times New Roman"/>
    </font>
    <font/>
    <font>
      <sz val="12.0"/>
      <color theme="1"/>
      <name val="Times New Roman"/>
    </font>
    <font>
      <color theme="1"/>
      <name val="Arial"/>
    </font>
    <font>
      <sz val="12.0"/>
      <color rgb="FFFFFFFF"/>
      <name val="Times New Roman"/>
    </font>
    <font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12" xfId="0" applyAlignment="1" applyBorder="1" applyFill="1" applyFont="1" applyNumberForma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shrinkToFit="0" vertical="bottom" wrapText="1"/>
    </xf>
    <xf borderId="4" fillId="0" fontId="3" numFmtId="0" xfId="0" applyBorder="1" applyFont="1"/>
    <xf borderId="3" fillId="2" fontId="1" numFmtId="164" xfId="0" applyAlignment="1" applyBorder="1" applyFont="1" applyNumberFormat="1">
      <alignment horizontal="center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4" numFmtId="164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6" fillId="2" fontId="1" numFmtId="0" xfId="0" applyAlignment="1" applyBorder="1" applyFont="1">
      <alignment shrinkToFit="0" vertical="bottom" wrapText="1"/>
    </xf>
    <xf borderId="7" fillId="0" fontId="3" numFmtId="0" xfId="0" applyBorder="1" applyFont="1"/>
    <xf borderId="6" fillId="2" fontId="4" numFmtId="0" xfId="0" applyAlignment="1" applyBorder="1" applyFont="1">
      <alignment horizontal="center" vertical="bottom"/>
    </xf>
    <xf borderId="7" fillId="2" fontId="1" numFmtId="0" xfId="0" applyAlignment="1" applyBorder="1" applyFont="1">
      <alignment shrinkToFit="0" vertical="bottom" wrapText="1"/>
    </xf>
    <xf borderId="7" fillId="2" fontId="5" numFmtId="14" xfId="0" applyAlignment="1" applyBorder="1" applyFont="1" applyNumberFormat="1">
      <alignment vertical="bottom"/>
    </xf>
    <xf borderId="7" fillId="3" fontId="6" numFmtId="0" xfId="0" applyAlignment="1" applyBorder="1" applyFill="1" applyFont="1">
      <alignment horizontal="center" shrinkToFit="0" vertical="bottom" wrapText="1"/>
    </xf>
    <xf borderId="2" fillId="2" fontId="5" numFmtId="0" xfId="0" applyAlignment="1" applyBorder="1" applyFont="1">
      <alignment vertical="bottom"/>
    </xf>
    <xf borderId="6" fillId="2" fontId="1" numFmtId="0" xfId="0" applyAlignment="1" applyBorder="1" applyFont="1">
      <alignment horizontal="center" shrinkToFit="0" vertical="bottom" wrapText="1"/>
    </xf>
    <xf borderId="7" fillId="2" fontId="4" numFmtId="0" xfId="0" applyAlignment="1" applyBorder="1" applyFont="1">
      <alignment horizontal="center" shrinkToFit="0" vertical="bottom" wrapText="1"/>
    </xf>
    <xf borderId="7" fillId="4" fontId="4" numFmtId="0" xfId="0" applyAlignment="1" applyBorder="1" applyFill="1" applyFont="1">
      <alignment horizontal="center" shrinkToFit="0" vertical="bottom" wrapText="1"/>
    </xf>
    <xf borderId="7" fillId="2" fontId="5" numFmtId="0" xfId="0" applyAlignment="1" applyBorder="1" applyFont="1">
      <alignment vertical="bottom"/>
    </xf>
    <xf borderId="7" fillId="5" fontId="4" numFmtId="0" xfId="0" applyAlignment="1" applyBorder="1" applyFill="1" applyFont="1">
      <alignment horizontal="center" shrinkToFit="0" vertical="bottom" wrapText="1"/>
    </xf>
    <xf borderId="5" fillId="6" fontId="5" numFmtId="0" xfId="0" applyAlignment="1" applyBorder="1" applyFill="1" applyFont="1">
      <alignment vertical="bottom"/>
    </xf>
    <xf borderId="7" fillId="6" fontId="5" numFmtId="0" xfId="0" applyAlignment="1" applyBorder="1" applyFont="1">
      <alignment vertical="bottom"/>
    </xf>
    <xf borderId="7" fillId="6" fontId="7" numFmtId="0" xfId="0" applyAlignment="1" applyBorder="1" applyFont="1">
      <alignment horizontal="center"/>
    </xf>
    <xf borderId="7" fillId="7" fontId="1" numFmtId="0" xfId="0" applyAlignment="1" applyBorder="1" applyFill="1" applyFont="1">
      <alignment shrinkToFit="0" vertical="bottom" wrapText="1"/>
    </xf>
    <xf borderId="7" fillId="7" fontId="4" numFmtId="0" xfId="0" applyAlignment="1" applyBorder="1" applyFont="1">
      <alignment horizontal="center" shrinkToFit="0" vertical="bottom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readingOrder="0" shrinkToFit="0" vertical="top" wrapText="1"/>
    </xf>
    <xf borderId="9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9" fillId="0" fontId="9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top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top"/>
    </xf>
    <xf borderId="0" fillId="0" fontId="9" numFmtId="0" xfId="0" applyAlignment="1" applyFont="1">
      <alignment shrinkToFit="0" wrapText="1"/>
    </xf>
    <xf borderId="9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bottom" wrapText="1"/>
    </xf>
    <xf borderId="9" fillId="0" fontId="5" numFmtId="0" xfId="0" applyAlignment="1" applyBorder="1" applyFont="1">
      <alignment shrinkToFit="0" vertical="bottom" wrapText="1"/>
    </xf>
    <xf borderId="7" fillId="9" fontId="6" numFmtId="0" xfId="0" applyAlignment="1" applyBorder="1" applyFill="1" applyFont="1">
      <alignment horizontal="center" shrinkToFit="0" vertical="bottom" wrapText="1"/>
    </xf>
    <xf borderId="9" fillId="0" fontId="5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left" readingOrder="0" shrinkToFit="0" wrapText="1"/>
    </xf>
    <xf borderId="9" fillId="0" fontId="9" numFmtId="0" xfId="0" applyAlignment="1" applyBorder="1" applyFont="1">
      <alignment horizontal="left" readingOrder="0" shrinkToFit="0" vertical="top" wrapText="1"/>
    </xf>
    <xf borderId="9" fillId="0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/>
    </xf>
    <xf borderId="9" fillId="0" fontId="9" numFmtId="0" xfId="0" applyAlignment="1" applyBorder="1" applyFont="1">
      <alignment readingOrder="0" vertical="top"/>
    </xf>
    <xf borderId="9" fillId="0" fontId="9" numFmtId="0" xfId="0" applyAlignment="1" applyBorder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10" fillId="6" fontId="5" numFmtId="0" xfId="0" applyAlignment="1" applyBorder="1" applyFont="1">
      <alignment vertical="bottom"/>
    </xf>
    <xf borderId="11" fillId="0" fontId="3" numFmtId="0" xfId="0" applyBorder="1" applyFont="1"/>
    <xf borderId="11" fillId="6" fontId="5" numFmtId="0" xfId="0" applyAlignment="1" applyBorder="1" applyFont="1">
      <alignment vertical="bottom"/>
    </xf>
    <xf borderId="11" fillId="6" fontId="7" numFmtId="0" xfId="0" applyAlignment="1" applyBorder="1" applyFont="1">
      <alignment horizontal="center"/>
    </xf>
    <xf borderId="11" fillId="7" fontId="1" numFmtId="0" xfId="0" applyAlignment="1" applyBorder="1" applyFont="1">
      <alignment shrinkToFit="0" vertical="bottom" wrapText="1"/>
    </xf>
    <xf borderId="11" fillId="7" fontId="4" numFmtId="0" xfId="0" applyAlignment="1" applyBorder="1" applyFont="1">
      <alignment horizontal="center" shrinkToFit="0" vertical="bottom" wrapText="1"/>
    </xf>
    <xf borderId="9" fillId="8" fontId="8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hyperlink" Target="https://drive.google.com/file/d/1MfV1PTxxjjxbcclf71iwDB3_y-qvHbcn/view?usp=sharin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pair.genzsoft.top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1.38"/>
    <col customWidth="1" min="4" max="4" width="13.88"/>
    <col customWidth="1" min="5" max="5" width="25.0"/>
    <col customWidth="1" min="6" max="6" width="15.0"/>
    <col customWidth="1" min="7" max="7" width="24.0"/>
    <col customWidth="1" min="8" max="8" width="19.88"/>
    <col customWidth="1" min="13" max="13" width="23.0"/>
    <col customWidth="1" min="14" max="14" width="17.5"/>
    <col customWidth="1" min="15" max="15" width="29.0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15">
        <f>COUNTIF(H7:Z484, "PASS")</f>
        <v>7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COUNTIF(H6:L484, "Fail")</f>
        <v>1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COUNTIF(H7:H484, "WARNING")</f>
        <v>0</v>
      </c>
    </row>
    <row r="5">
      <c r="A5" s="22"/>
      <c r="B5" s="11"/>
      <c r="C5" s="23"/>
      <c r="D5" s="24" t="s">
        <v>22</v>
      </c>
      <c r="E5" s="23"/>
      <c r="F5" s="23"/>
      <c r="G5" s="23"/>
      <c r="H5" s="23"/>
      <c r="I5" s="25" t="s">
        <v>23</v>
      </c>
      <c r="J5" s="26">
        <f>SUM(J2:J3:J4)</f>
        <v>8</v>
      </c>
    </row>
    <row r="6">
      <c r="A6" s="27" t="s">
        <v>24</v>
      </c>
      <c r="B6" s="27" t="s">
        <v>25</v>
      </c>
      <c r="C6" s="27" t="s">
        <v>26</v>
      </c>
      <c r="D6" s="27" t="s">
        <v>27</v>
      </c>
      <c r="E6" s="27" t="s">
        <v>28</v>
      </c>
      <c r="F6" s="27" t="s">
        <v>29</v>
      </c>
      <c r="G6" s="27" t="s">
        <v>30</v>
      </c>
      <c r="H6" s="27" t="s">
        <v>31</v>
      </c>
      <c r="I6" s="27" t="s">
        <v>32</v>
      </c>
      <c r="J6" s="27" t="s">
        <v>33</v>
      </c>
      <c r="K6" s="27" t="s">
        <v>34</v>
      </c>
      <c r="L6" s="28" t="s">
        <v>35</v>
      </c>
      <c r="M6" s="28" t="s">
        <v>36</v>
      </c>
      <c r="N6" s="28" t="s">
        <v>37</v>
      </c>
      <c r="O6" s="28" t="s">
        <v>38</v>
      </c>
    </row>
    <row r="7">
      <c r="A7" s="29" t="s">
        <v>39</v>
      </c>
      <c r="B7" s="30" t="s">
        <v>40</v>
      </c>
      <c r="C7" s="30" t="s">
        <v>41</v>
      </c>
      <c r="D7" s="30" t="s">
        <v>42</v>
      </c>
      <c r="E7" s="31" t="s">
        <v>43</v>
      </c>
      <c r="F7" s="32" t="s">
        <v>44</v>
      </c>
      <c r="G7" s="32" t="s">
        <v>45</v>
      </c>
      <c r="H7" s="32" t="s">
        <v>46</v>
      </c>
      <c r="I7" s="32">
        <v>201.0</v>
      </c>
      <c r="J7" s="33"/>
      <c r="K7" s="33"/>
      <c r="L7" s="34" t="s">
        <v>47</v>
      </c>
      <c r="M7" s="35" t="s">
        <v>48</v>
      </c>
      <c r="N7" s="32" t="s">
        <v>49</v>
      </c>
      <c r="O7" s="36" t="s">
        <v>50</v>
      </c>
      <c r="P7" s="37"/>
    </row>
    <row r="8">
      <c r="A8" s="29" t="s">
        <v>51</v>
      </c>
      <c r="B8" s="30" t="s">
        <v>40</v>
      </c>
      <c r="C8" s="30" t="s">
        <v>41</v>
      </c>
      <c r="D8" s="30" t="s">
        <v>52</v>
      </c>
      <c r="E8" s="31" t="s">
        <v>53</v>
      </c>
      <c r="F8" s="32" t="s">
        <v>44</v>
      </c>
      <c r="G8" s="32" t="s">
        <v>54</v>
      </c>
      <c r="H8" s="32" t="s">
        <v>55</v>
      </c>
      <c r="I8" s="32">
        <v>400.0</v>
      </c>
      <c r="J8" s="32" t="s">
        <v>56</v>
      </c>
      <c r="K8" s="32" t="s">
        <v>57</v>
      </c>
      <c r="L8" s="34" t="s">
        <v>47</v>
      </c>
      <c r="M8" s="31" t="s">
        <v>58</v>
      </c>
      <c r="N8" s="32" t="s">
        <v>59</v>
      </c>
      <c r="O8" s="36" t="s">
        <v>60</v>
      </c>
      <c r="P8" s="37"/>
    </row>
    <row r="9">
      <c r="A9" s="29" t="s">
        <v>61</v>
      </c>
      <c r="B9" s="30" t="s">
        <v>40</v>
      </c>
      <c r="C9" s="30" t="s">
        <v>41</v>
      </c>
      <c r="D9" s="30" t="s">
        <v>62</v>
      </c>
      <c r="E9" s="31" t="s">
        <v>63</v>
      </c>
      <c r="F9" s="32" t="s">
        <v>44</v>
      </c>
      <c r="G9" s="32" t="s">
        <v>64</v>
      </c>
      <c r="H9" s="32" t="s">
        <v>65</v>
      </c>
      <c r="I9" s="32">
        <v>400.0</v>
      </c>
      <c r="J9" s="32" t="s">
        <v>66</v>
      </c>
      <c r="K9" s="32" t="s">
        <v>67</v>
      </c>
      <c r="L9" s="34" t="s">
        <v>47</v>
      </c>
      <c r="M9" s="31" t="s">
        <v>68</v>
      </c>
      <c r="N9" s="32" t="s">
        <v>69</v>
      </c>
      <c r="O9" s="36" t="s">
        <v>70</v>
      </c>
      <c r="P9" s="37"/>
    </row>
    <row r="10">
      <c r="A10" s="29" t="s">
        <v>71</v>
      </c>
      <c r="B10" s="30" t="s">
        <v>40</v>
      </c>
      <c r="C10" s="30" t="s">
        <v>41</v>
      </c>
      <c r="D10" s="30" t="s">
        <v>72</v>
      </c>
      <c r="E10" s="31" t="s">
        <v>73</v>
      </c>
      <c r="F10" s="32" t="s">
        <v>44</v>
      </c>
      <c r="G10" s="32" t="s">
        <v>74</v>
      </c>
      <c r="H10" s="32" t="s">
        <v>75</v>
      </c>
      <c r="I10" s="32">
        <v>400.0</v>
      </c>
      <c r="J10" s="32" t="s">
        <v>56</v>
      </c>
      <c r="K10" s="32" t="s">
        <v>57</v>
      </c>
      <c r="L10" s="34" t="s">
        <v>47</v>
      </c>
      <c r="M10" s="31" t="s">
        <v>76</v>
      </c>
      <c r="N10" s="32" t="s">
        <v>77</v>
      </c>
      <c r="O10" s="36" t="s">
        <v>78</v>
      </c>
      <c r="P10" s="37"/>
    </row>
    <row r="11">
      <c r="A11" s="29" t="s">
        <v>79</v>
      </c>
      <c r="B11" s="30" t="s">
        <v>40</v>
      </c>
      <c r="C11" s="30" t="s">
        <v>41</v>
      </c>
      <c r="D11" s="30" t="s">
        <v>80</v>
      </c>
      <c r="E11" s="31" t="s">
        <v>81</v>
      </c>
      <c r="F11" s="32" t="s">
        <v>44</v>
      </c>
      <c r="G11" s="32" t="s">
        <v>82</v>
      </c>
      <c r="H11" s="32" t="s">
        <v>83</v>
      </c>
      <c r="I11" s="32">
        <v>201.0</v>
      </c>
      <c r="J11" s="32" t="s">
        <v>56</v>
      </c>
      <c r="K11" s="32" t="s">
        <v>57</v>
      </c>
      <c r="L11" s="34" t="s">
        <v>47</v>
      </c>
      <c r="M11" s="31" t="s">
        <v>84</v>
      </c>
      <c r="N11" s="32" t="s">
        <v>85</v>
      </c>
      <c r="O11" s="36" t="s">
        <v>86</v>
      </c>
      <c r="P11" s="37"/>
    </row>
    <row r="12">
      <c r="A12" s="29" t="s">
        <v>87</v>
      </c>
      <c r="B12" s="30" t="s">
        <v>40</v>
      </c>
      <c r="C12" s="30" t="s">
        <v>41</v>
      </c>
      <c r="D12" s="30" t="s">
        <v>88</v>
      </c>
      <c r="E12" s="31" t="s">
        <v>89</v>
      </c>
      <c r="F12" s="32" t="s">
        <v>44</v>
      </c>
      <c r="G12" s="32" t="s">
        <v>90</v>
      </c>
      <c r="H12" s="32" t="s">
        <v>91</v>
      </c>
      <c r="I12" s="32">
        <v>201.0</v>
      </c>
      <c r="J12" s="32" t="s">
        <v>56</v>
      </c>
      <c r="K12" s="32" t="s">
        <v>57</v>
      </c>
      <c r="L12" s="34" t="s">
        <v>47</v>
      </c>
      <c r="M12" s="31" t="s">
        <v>92</v>
      </c>
      <c r="N12" s="32" t="s">
        <v>93</v>
      </c>
      <c r="O12" s="36" t="s">
        <v>94</v>
      </c>
      <c r="P12" s="37"/>
    </row>
    <row r="13">
      <c r="A13" s="29" t="s">
        <v>95</v>
      </c>
      <c r="B13" s="30" t="s">
        <v>40</v>
      </c>
      <c r="C13" s="30" t="s">
        <v>41</v>
      </c>
      <c r="D13" s="30" t="s">
        <v>96</v>
      </c>
      <c r="E13" s="31" t="s">
        <v>97</v>
      </c>
      <c r="F13" s="32" t="s">
        <v>44</v>
      </c>
      <c r="G13" s="32" t="s">
        <v>98</v>
      </c>
      <c r="H13" s="32" t="s">
        <v>99</v>
      </c>
      <c r="I13" s="32">
        <v>201.0</v>
      </c>
      <c r="J13" s="33"/>
      <c r="K13" s="33"/>
      <c r="L13" s="34" t="s">
        <v>47</v>
      </c>
      <c r="M13" s="31" t="s">
        <v>100</v>
      </c>
      <c r="N13" s="32" t="s">
        <v>101</v>
      </c>
      <c r="O13" s="36" t="s">
        <v>102</v>
      </c>
      <c r="P13" s="37"/>
    </row>
    <row r="14">
      <c r="A14" s="29" t="s">
        <v>103</v>
      </c>
      <c r="B14" s="30" t="s">
        <v>40</v>
      </c>
      <c r="C14" s="30" t="s">
        <v>41</v>
      </c>
      <c r="D14" s="38" t="s">
        <v>104</v>
      </c>
      <c r="E14" s="39" t="s">
        <v>105</v>
      </c>
      <c r="F14" s="38" t="s">
        <v>44</v>
      </c>
      <c r="G14" s="40" t="s">
        <v>106</v>
      </c>
      <c r="H14" s="40" t="s">
        <v>107</v>
      </c>
      <c r="I14" s="32">
        <v>201.0</v>
      </c>
      <c r="J14" s="40" t="s">
        <v>66</v>
      </c>
      <c r="K14" s="40" t="s">
        <v>67</v>
      </c>
      <c r="L14" s="41" t="s">
        <v>108</v>
      </c>
      <c r="M14" s="38" t="s">
        <v>109</v>
      </c>
      <c r="N14" s="38" t="s">
        <v>110</v>
      </c>
      <c r="O14" s="40" t="s">
        <v>111</v>
      </c>
    </row>
    <row r="15">
      <c r="A15" s="42"/>
      <c r="B15" s="43"/>
      <c r="C15" s="43"/>
      <c r="D15" s="43"/>
      <c r="E15" s="44"/>
      <c r="F15" s="43"/>
      <c r="G15" s="45"/>
      <c r="H15" s="45"/>
      <c r="I15" s="45"/>
      <c r="J15" s="45"/>
      <c r="K15" s="45"/>
      <c r="L15" s="46"/>
      <c r="M15" s="43"/>
      <c r="N15" s="45"/>
      <c r="O15" s="45"/>
    </row>
    <row r="16">
      <c r="A16" s="42"/>
      <c r="B16" s="43"/>
      <c r="C16" s="43"/>
      <c r="D16" s="43"/>
      <c r="E16" s="44"/>
      <c r="F16" s="43"/>
      <c r="G16" s="45"/>
      <c r="H16" s="45"/>
      <c r="I16" s="45"/>
      <c r="J16" s="45"/>
      <c r="K16" s="45"/>
      <c r="L16" s="46"/>
      <c r="M16" s="43"/>
      <c r="N16" s="45"/>
      <c r="O16" s="45"/>
    </row>
    <row r="17">
      <c r="A17" s="47"/>
      <c r="B17" s="43"/>
      <c r="C17" s="43"/>
      <c r="D17" s="43"/>
      <c r="E17" s="44"/>
      <c r="F17" s="43"/>
      <c r="G17" s="45"/>
      <c r="H17" s="45"/>
      <c r="I17" s="45"/>
      <c r="J17" s="45"/>
      <c r="K17" s="45"/>
      <c r="L17" s="46"/>
      <c r="M17" s="43"/>
      <c r="N17" s="45"/>
      <c r="O17" s="45"/>
    </row>
    <row r="18">
      <c r="A18" s="47"/>
      <c r="B18" s="43"/>
      <c r="C18" s="43"/>
      <c r="D18" s="43"/>
      <c r="E18" s="44"/>
      <c r="F18" s="43"/>
      <c r="G18" s="45"/>
      <c r="H18" s="45"/>
      <c r="I18" s="45"/>
      <c r="J18" s="45"/>
      <c r="K18" s="45"/>
      <c r="L18" s="46"/>
      <c r="M18" s="43"/>
      <c r="N18" s="45"/>
      <c r="O18" s="45"/>
    </row>
    <row r="19">
      <c r="A19" s="47"/>
      <c r="B19" s="43"/>
      <c r="C19" s="43"/>
      <c r="D19" s="43"/>
      <c r="E19" s="44"/>
      <c r="F19" s="43"/>
      <c r="G19" s="45"/>
      <c r="H19" s="45"/>
      <c r="I19" s="45"/>
      <c r="J19" s="45"/>
      <c r="K19" s="45"/>
      <c r="L19" s="46"/>
      <c r="M19" s="48"/>
      <c r="N19" s="48"/>
      <c r="O19" s="48"/>
    </row>
    <row r="20">
      <c r="A20" s="47"/>
      <c r="B20" s="43"/>
      <c r="C20" s="43"/>
      <c r="D20" s="43"/>
      <c r="E20" s="44"/>
      <c r="F20" s="44"/>
      <c r="G20" s="45"/>
      <c r="H20" s="45"/>
      <c r="I20" s="45"/>
      <c r="J20" s="45"/>
      <c r="K20" s="45"/>
      <c r="L20" s="46"/>
      <c r="M20" s="49"/>
      <c r="N20" s="49"/>
    </row>
    <row r="21">
      <c r="A21" s="47"/>
      <c r="B21" s="43"/>
      <c r="C21" s="43"/>
      <c r="D21" s="43"/>
      <c r="E21" s="44"/>
      <c r="F21" s="44"/>
      <c r="G21" s="44"/>
      <c r="H21" s="44"/>
      <c r="I21" s="44"/>
      <c r="J21" s="44"/>
      <c r="K21" s="44"/>
      <c r="L21" s="49"/>
      <c r="M21" s="49"/>
      <c r="N21" s="49"/>
    </row>
    <row r="22">
      <c r="A22" s="44"/>
      <c r="B22" s="43"/>
      <c r="C22" s="43"/>
      <c r="D22" s="43"/>
      <c r="E22" s="44"/>
      <c r="F22" s="44"/>
      <c r="G22" s="44"/>
      <c r="H22" s="44"/>
      <c r="I22" s="44"/>
      <c r="J22" s="44"/>
      <c r="K22" s="44"/>
      <c r="L22" s="49"/>
      <c r="M22" s="49"/>
      <c r="N22" s="49"/>
    </row>
    <row r="23">
      <c r="A23" s="50"/>
      <c r="B23" s="43"/>
      <c r="C23" s="43"/>
      <c r="D23" s="43"/>
      <c r="E23" s="50"/>
      <c r="F23" s="50"/>
      <c r="G23" s="50"/>
      <c r="H23" s="50"/>
      <c r="I23" s="50"/>
      <c r="J23" s="50"/>
      <c r="K23" s="50"/>
    </row>
    <row r="24">
      <c r="A24" s="50"/>
      <c r="B24" s="43"/>
      <c r="C24" s="43"/>
      <c r="D24" s="43"/>
      <c r="E24" s="50"/>
      <c r="F24" s="50"/>
      <c r="G24" s="50"/>
      <c r="H24" s="50"/>
      <c r="I24" s="50"/>
      <c r="J24" s="50"/>
      <c r="K24" s="50"/>
    </row>
    <row r="25">
      <c r="A25" s="50"/>
      <c r="B25" s="43"/>
      <c r="C25" s="43"/>
      <c r="D25" s="43"/>
      <c r="E25" s="50"/>
      <c r="F25" s="50"/>
      <c r="G25" s="50"/>
      <c r="H25" s="50"/>
      <c r="I25" s="50"/>
      <c r="J25" s="50"/>
      <c r="K25" s="50"/>
    </row>
    <row r="26">
      <c r="A26" s="50"/>
      <c r="B26" s="43"/>
      <c r="C26" s="43"/>
      <c r="D26" s="43"/>
      <c r="E26" s="50"/>
      <c r="F26" s="50"/>
      <c r="G26" s="50"/>
      <c r="H26" s="50"/>
      <c r="I26" s="50"/>
      <c r="J26" s="50"/>
      <c r="K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14">
      <formula1>"Critical,Major,Minor,Low"</formula1>
    </dataValidation>
    <dataValidation type="list" allowBlank="1" showErrorMessage="1" sqref="F7:F14">
      <formula1>"GET,POST,PATCH,DELETE."</formula1>
    </dataValidation>
    <dataValidation type="list" allowBlank="1" showErrorMessage="1" sqref="K7:K14">
      <formula1>"High,Medium,Law"</formula1>
    </dataValidation>
    <dataValidation type="list" allowBlank="1" showErrorMessage="1" sqref="L7:L14">
      <formula1>"Pass,Fail"</formula1>
    </dataValidation>
  </dataValidation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8.0"/>
    <col customWidth="1" min="4" max="4" width="17.0"/>
    <col customWidth="1" min="5" max="5" width="26.25"/>
    <col customWidth="1" min="6" max="6" width="17.25"/>
    <col customWidth="1" min="7" max="7" width="23.0"/>
    <col customWidth="1" min="8" max="8" width="25.75"/>
    <col customWidth="1" min="13" max="13" width="21.13"/>
    <col customWidth="1" min="14" max="14" width="20.5"/>
    <col customWidth="1" min="15" max="15" width="25.38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15">
        <f>COUNTIF(H7:Z484, "PASS")</f>
        <v>6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COUNTIF(H6:L484, "Fail")</f>
        <v>0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COUNTIF(H7:H484, "WARNING")</f>
        <v>0</v>
      </c>
    </row>
    <row r="5">
      <c r="A5" s="22"/>
      <c r="B5" s="11"/>
      <c r="C5" s="23"/>
      <c r="D5" s="24" t="s">
        <v>112</v>
      </c>
      <c r="E5" s="23"/>
      <c r="F5" s="23"/>
      <c r="G5" s="23"/>
      <c r="H5" s="23"/>
      <c r="I5" s="25" t="s">
        <v>23</v>
      </c>
      <c r="J5" s="26">
        <f>SUM(J2:J3:J4)</f>
        <v>6</v>
      </c>
    </row>
    <row r="6">
      <c r="A6" s="27" t="s">
        <v>24</v>
      </c>
      <c r="B6" s="27" t="s">
        <v>25</v>
      </c>
      <c r="C6" s="27" t="s">
        <v>26</v>
      </c>
      <c r="D6" s="27" t="s">
        <v>27</v>
      </c>
      <c r="E6" s="27" t="s">
        <v>28</v>
      </c>
      <c r="F6" s="27" t="s">
        <v>29</v>
      </c>
      <c r="G6" s="27" t="s">
        <v>30</v>
      </c>
      <c r="H6" s="27" t="s">
        <v>31</v>
      </c>
      <c r="I6" s="27" t="s">
        <v>32</v>
      </c>
      <c r="J6" s="27" t="s">
        <v>33</v>
      </c>
      <c r="K6" s="27" t="s">
        <v>34</v>
      </c>
      <c r="L6" s="28" t="s">
        <v>35</v>
      </c>
      <c r="M6" s="28" t="s">
        <v>36</v>
      </c>
      <c r="N6" s="28" t="s">
        <v>37</v>
      </c>
      <c r="O6" s="28" t="s">
        <v>38</v>
      </c>
    </row>
    <row r="7">
      <c r="A7" s="29" t="s">
        <v>113</v>
      </c>
      <c r="B7" s="32" t="s">
        <v>114</v>
      </c>
      <c r="C7" s="32" t="s">
        <v>115</v>
      </c>
      <c r="D7" s="30" t="s">
        <v>116</v>
      </c>
      <c r="E7" s="51" t="s">
        <v>117</v>
      </c>
      <c r="F7" s="30" t="s">
        <v>44</v>
      </c>
      <c r="G7" s="30" t="s">
        <v>118</v>
      </c>
      <c r="H7" s="30" t="s">
        <v>119</v>
      </c>
      <c r="I7" s="32">
        <v>200.0</v>
      </c>
      <c r="J7" s="33"/>
      <c r="K7" s="52"/>
      <c r="L7" s="33" t="s">
        <v>47</v>
      </c>
      <c r="M7" s="53" t="s">
        <v>120</v>
      </c>
      <c r="N7" s="32" t="s">
        <v>121</v>
      </c>
      <c r="O7" s="32" t="s">
        <v>122</v>
      </c>
    </row>
    <row r="8">
      <c r="A8" s="32" t="s">
        <v>123</v>
      </c>
      <c r="B8" s="32" t="s">
        <v>114</v>
      </c>
      <c r="C8" s="32" t="s">
        <v>115</v>
      </c>
      <c r="D8" s="30" t="s">
        <v>124</v>
      </c>
      <c r="E8" s="51" t="s">
        <v>125</v>
      </c>
      <c r="F8" s="30" t="s">
        <v>44</v>
      </c>
      <c r="G8" s="30" t="s">
        <v>126</v>
      </c>
      <c r="H8" s="30" t="s">
        <v>127</v>
      </c>
      <c r="I8" s="32">
        <v>400.0</v>
      </c>
      <c r="J8" s="33" t="s">
        <v>56</v>
      </c>
      <c r="K8" s="52" t="s">
        <v>57</v>
      </c>
      <c r="L8" s="33" t="s">
        <v>47</v>
      </c>
      <c r="M8" s="53" t="s">
        <v>128</v>
      </c>
      <c r="N8" s="32" t="s">
        <v>129</v>
      </c>
      <c r="O8" s="32" t="s">
        <v>130</v>
      </c>
    </row>
    <row r="9">
      <c r="A9" s="32" t="s">
        <v>131</v>
      </c>
      <c r="B9" s="32" t="s">
        <v>114</v>
      </c>
      <c r="C9" s="32" t="s">
        <v>115</v>
      </c>
      <c r="D9" s="30" t="s">
        <v>132</v>
      </c>
      <c r="E9" s="51" t="s">
        <v>133</v>
      </c>
      <c r="F9" s="30" t="s">
        <v>44</v>
      </c>
      <c r="G9" s="30" t="s">
        <v>134</v>
      </c>
      <c r="H9" s="30" t="s">
        <v>135</v>
      </c>
      <c r="I9" s="32">
        <v>401.0</v>
      </c>
      <c r="J9" s="33" t="s">
        <v>66</v>
      </c>
      <c r="K9" s="52" t="s">
        <v>57</v>
      </c>
      <c r="L9" s="33" t="s">
        <v>47</v>
      </c>
      <c r="M9" s="53" t="s">
        <v>136</v>
      </c>
      <c r="N9" s="32" t="s">
        <v>137</v>
      </c>
      <c r="O9" s="32" t="s">
        <v>138</v>
      </c>
    </row>
    <row r="10">
      <c r="A10" s="32" t="s">
        <v>139</v>
      </c>
      <c r="B10" s="32" t="s">
        <v>114</v>
      </c>
      <c r="C10" s="32" t="s">
        <v>115</v>
      </c>
      <c r="D10" s="30" t="s">
        <v>140</v>
      </c>
      <c r="E10" s="51" t="s">
        <v>141</v>
      </c>
      <c r="F10" s="30" t="s">
        <v>44</v>
      </c>
      <c r="G10" s="30" t="s">
        <v>134</v>
      </c>
      <c r="H10" s="30" t="s">
        <v>135</v>
      </c>
      <c r="I10" s="32">
        <v>401.0</v>
      </c>
      <c r="J10" s="33" t="s">
        <v>56</v>
      </c>
      <c r="K10" s="52" t="s">
        <v>57</v>
      </c>
      <c r="L10" s="33" t="s">
        <v>47</v>
      </c>
      <c r="M10" s="53" t="s">
        <v>142</v>
      </c>
      <c r="N10" s="32" t="s">
        <v>143</v>
      </c>
      <c r="O10" s="32" t="s">
        <v>144</v>
      </c>
    </row>
    <row r="11">
      <c r="A11" s="32" t="s">
        <v>145</v>
      </c>
      <c r="B11" s="32" t="s">
        <v>146</v>
      </c>
      <c r="C11" s="32" t="s">
        <v>115</v>
      </c>
      <c r="D11" s="30" t="s">
        <v>147</v>
      </c>
      <c r="E11" s="51" t="s">
        <v>148</v>
      </c>
      <c r="F11" s="30" t="s">
        <v>44</v>
      </c>
      <c r="G11" s="30" t="s">
        <v>149</v>
      </c>
      <c r="H11" s="30" t="s">
        <v>150</v>
      </c>
      <c r="I11" s="32">
        <v>200.0</v>
      </c>
      <c r="J11" s="33"/>
      <c r="K11" s="52"/>
      <c r="L11" s="33" t="s">
        <v>47</v>
      </c>
      <c r="M11" s="54" t="s">
        <v>151</v>
      </c>
      <c r="N11" s="32" t="s">
        <v>152</v>
      </c>
      <c r="O11" s="32" t="s">
        <v>153</v>
      </c>
    </row>
    <row r="12">
      <c r="A12" s="32" t="s">
        <v>154</v>
      </c>
      <c r="B12" s="32" t="s">
        <v>146</v>
      </c>
      <c r="C12" s="32" t="s">
        <v>115</v>
      </c>
      <c r="D12" s="30" t="s">
        <v>155</v>
      </c>
      <c r="E12" s="51" t="s">
        <v>156</v>
      </c>
      <c r="F12" s="30" t="s">
        <v>44</v>
      </c>
      <c r="G12" s="30" t="s">
        <v>134</v>
      </c>
      <c r="H12" s="30" t="s">
        <v>134</v>
      </c>
      <c r="I12" s="32">
        <v>401.0</v>
      </c>
      <c r="J12" s="33" t="s">
        <v>66</v>
      </c>
      <c r="K12" s="52" t="s">
        <v>57</v>
      </c>
      <c r="L12" s="33" t="s">
        <v>47</v>
      </c>
      <c r="M12" s="54" t="s">
        <v>157</v>
      </c>
      <c r="N12" s="32" t="s">
        <v>158</v>
      </c>
      <c r="O12" s="32" t="s">
        <v>159</v>
      </c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12">
      <formula1>"Critical,Major,Minor,Low"</formula1>
    </dataValidation>
    <dataValidation type="list" allowBlank="1" showErrorMessage="1" sqref="F7:F12">
      <formula1>"GET,POST,PATCH,DELETE."</formula1>
    </dataValidation>
    <dataValidation type="list" allowBlank="1" showErrorMessage="1" sqref="K7:K12">
      <formula1>"High,Medium,Law"</formula1>
    </dataValidation>
    <dataValidation type="list" allowBlank="1" showErrorMessage="1" sqref="L7:L12">
      <formula1>"Pass,Fail"</formula1>
    </dataValidation>
  </dataValidations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7.38"/>
    <col customWidth="1" min="4" max="4" width="18.63"/>
    <col customWidth="1" min="5" max="5" width="25.0"/>
    <col customWidth="1" min="6" max="6" width="14.25"/>
    <col customWidth="1" min="7" max="7" width="22.38"/>
    <col customWidth="1" min="8" max="8" width="20.38"/>
    <col customWidth="1" min="13" max="13" width="24.25"/>
    <col customWidth="1" min="14" max="14" width="22.75"/>
    <col customWidth="1" min="15" max="15" width="22.63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55">
        <f>COUNTIF(H7:Z485, "PASS")</f>
        <v>6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COUNTIF(H6:L485, "Fail")</f>
        <v>4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COUNTIF(H7:H485, "WARNING")</f>
        <v>0</v>
      </c>
    </row>
    <row r="5">
      <c r="A5" s="22"/>
      <c r="B5" s="11"/>
      <c r="C5" s="23"/>
      <c r="D5" s="24" t="s">
        <v>160</v>
      </c>
      <c r="E5" s="23"/>
      <c r="F5" s="23"/>
      <c r="G5" s="23"/>
      <c r="H5" s="23"/>
      <c r="I5" s="25" t="s">
        <v>23</v>
      </c>
      <c r="J5" s="26">
        <f>SUM(J2:J3:J4)</f>
        <v>10</v>
      </c>
    </row>
    <row r="6">
      <c r="A6" s="27" t="s">
        <v>24</v>
      </c>
      <c r="B6" s="27" t="s">
        <v>25</v>
      </c>
      <c r="C6" s="27" t="s">
        <v>26</v>
      </c>
      <c r="D6" s="27" t="s">
        <v>27</v>
      </c>
      <c r="E6" s="27" t="s">
        <v>28</v>
      </c>
      <c r="F6" s="27" t="s">
        <v>29</v>
      </c>
      <c r="G6" s="27" t="s">
        <v>30</v>
      </c>
      <c r="H6" s="27" t="s">
        <v>31</v>
      </c>
      <c r="I6" s="27" t="s">
        <v>32</v>
      </c>
      <c r="J6" s="27" t="s">
        <v>33</v>
      </c>
      <c r="K6" s="27" t="s">
        <v>34</v>
      </c>
      <c r="L6" s="27" t="s">
        <v>35</v>
      </c>
      <c r="M6" s="27" t="s">
        <v>36</v>
      </c>
      <c r="N6" s="27" t="s">
        <v>37</v>
      </c>
      <c r="O6" s="27" t="s">
        <v>38</v>
      </c>
    </row>
    <row r="7">
      <c r="A7" s="29" t="s">
        <v>161</v>
      </c>
      <c r="B7" s="32" t="s">
        <v>162</v>
      </c>
      <c r="C7" s="32" t="s">
        <v>163</v>
      </c>
      <c r="D7" s="32" t="s">
        <v>164</v>
      </c>
      <c r="E7" s="32" t="s">
        <v>165</v>
      </c>
      <c r="F7" s="33" t="s">
        <v>44</v>
      </c>
      <c r="G7" s="32" t="s">
        <v>166</v>
      </c>
      <c r="H7" s="32" t="s">
        <v>167</v>
      </c>
      <c r="I7" s="32">
        <v>201.0</v>
      </c>
      <c r="J7" s="29"/>
      <c r="K7" s="29"/>
      <c r="L7" s="33" t="s">
        <v>47</v>
      </c>
      <c r="M7" s="56" t="s">
        <v>168</v>
      </c>
      <c r="N7" s="32" t="s">
        <v>169</v>
      </c>
      <c r="O7" s="51" t="s">
        <v>170</v>
      </c>
    </row>
    <row r="8">
      <c r="A8" s="29" t="s">
        <v>171</v>
      </c>
      <c r="B8" s="32" t="s">
        <v>162</v>
      </c>
      <c r="C8" s="32" t="s">
        <v>163</v>
      </c>
      <c r="D8" s="33" t="s">
        <v>172</v>
      </c>
      <c r="E8" s="33" t="s">
        <v>173</v>
      </c>
      <c r="F8" s="33" t="s">
        <v>44</v>
      </c>
      <c r="G8" s="33" t="s">
        <v>174</v>
      </c>
      <c r="H8" s="33" t="s">
        <v>175</v>
      </c>
      <c r="I8" s="33">
        <v>201.0</v>
      </c>
      <c r="J8" s="33" t="s">
        <v>176</v>
      </c>
      <c r="K8" s="33" t="s">
        <v>67</v>
      </c>
      <c r="L8" s="33" t="s">
        <v>108</v>
      </c>
      <c r="M8" s="56" t="s">
        <v>177</v>
      </c>
      <c r="N8" s="32"/>
      <c r="O8" s="56" t="s">
        <v>178</v>
      </c>
    </row>
    <row r="9">
      <c r="A9" s="29" t="s">
        <v>179</v>
      </c>
      <c r="B9" s="32" t="s">
        <v>162</v>
      </c>
      <c r="C9" s="32" t="s">
        <v>163</v>
      </c>
      <c r="D9" s="33" t="s">
        <v>180</v>
      </c>
      <c r="E9" s="32" t="s">
        <v>181</v>
      </c>
      <c r="F9" s="33" t="s">
        <v>44</v>
      </c>
      <c r="G9" s="32" t="s">
        <v>182</v>
      </c>
      <c r="H9" s="32" t="s">
        <v>183</v>
      </c>
      <c r="I9" s="32">
        <v>400.0</v>
      </c>
      <c r="J9" s="33" t="s">
        <v>56</v>
      </c>
      <c r="K9" s="33" t="s">
        <v>57</v>
      </c>
      <c r="L9" s="33" t="s">
        <v>47</v>
      </c>
      <c r="M9" s="56" t="s">
        <v>184</v>
      </c>
      <c r="N9" s="32" t="s">
        <v>185</v>
      </c>
      <c r="O9" s="51" t="s">
        <v>130</v>
      </c>
    </row>
    <row r="10">
      <c r="A10" s="29" t="s">
        <v>186</v>
      </c>
      <c r="B10" s="32" t="s">
        <v>187</v>
      </c>
      <c r="C10" s="32" t="s">
        <v>163</v>
      </c>
      <c r="D10" s="33" t="s">
        <v>188</v>
      </c>
      <c r="E10" s="32" t="s">
        <v>189</v>
      </c>
      <c r="F10" s="33" t="s">
        <v>190</v>
      </c>
      <c r="G10" s="32" t="s">
        <v>191</v>
      </c>
      <c r="H10" s="32" t="s">
        <v>192</v>
      </c>
      <c r="I10" s="32">
        <v>200.0</v>
      </c>
      <c r="J10" s="29"/>
      <c r="K10" s="29"/>
      <c r="L10" s="33" t="s">
        <v>47</v>
      </c>
      <c r="M10" s="56" t="s">
        <v>193</v>
      </c>
      <c r="N10" s="32" t="s">
        <v>194</v>
      </c>
      <c r="O10" s="51" t="s">
        <v>195</v>
      </c>
    </row>
    <row r="11">
      <c r="A11" s="29" t="s">
        <v>196</v>
      </c>
      <c r="B11" s="32" t="s">
        <v>197</v>
      </c>
      <c r="C11" s="32" t="s">
        <v>163</v>
      </c>
      <c r="D11" s="33" t="s">
        <v>198</v>
      </c>
      <c r="E11" s="32" t="s">
        <v>189</v>
      </c>
      <c r="F11" s="33" t="s">
        <v>190</v>
      </c>
      <c r="G11" s="32" t="s">
        <v>199</v>
      </c>
      <c r="H11" s="32" t="s">
        <v>200</v>
      </c>
      <c r="I11" s="32">
        <v>200.0</v>
      </c>
      <c r="J11" s="29"/>
      <c r="K11" s="29"/>
      <c r="L11" s="33" t="s">
        <v>47</v>
      </c>
      <c r="M11" s="56" t="s">
        <v>201</v>
      </c>
      <c r="N11" s="32" t="s">
        <v>202</v>
      </c>
      <c r="O11" s="51" t="s">
        <v>203</v>
      </c>
    </row>
    <row r="12">
      <c r="A12" s="29" t="s">
        <v>204</v>
      </c>
      <c r="B12" s="32" t="s">
        <v>205</v>
      </c>
      <c r="C12" s="32" t="s">
        <v>163</v>
      </c>
      <c r="D12" s="33" t="s">
        <v>206</v>
      </c>
      <c r="E12" s="32" t="s">
        <v>207</v>
      </c>
      <c r="F12" s="33" t="s">
        <v>208</v>
      </c>
      <c r="G12" s="32" t="s">
        <v>209</v>
      </c>
      <c r="H12" s="32" t="s">
        <v>210</v>
      </c>
      <c r="I12" s="32">
        <v>200.0</v>
      </c>
      <c r="J12" s="29"/>
      <c r="K12" s="29"/>
      <c r="L12" s="33" t="s">
        <v>47</v>
      </c>
      <c r="M12" s="56" t="s">
        <v>211</v>
      </c>
      <c r="N12" s="32" t="s">
        <v>212</v>
      </c>
      <c r="O12" s="51" t="s">
        <v>213</v>
      </c>
    </row>
    <row r="13">
      <c r="A13" s="29" t="s">
        <v>214</v>
      </c>
      <c r="B13" s="32" t="s">
        <v>215</v>
      </c>
      <c r="C13" s="32" t="s">
        <v>163</v>
      </c>
      <c r="D13" s="33" t="s">
        <v>216</v>
      </c>
      <c r="E13" s="32" t="s">
        <v>189</v>
      </c>
      <c r="F13" s="33" t="s">
        <v>217</v>
      </c>
      <c r="G13" s="32" t="s">
        <v>218</v>
      </c>
      <c r="H13" s="32" t="s">
        <v>218</v>
      </c>
      <c r="I13" s="32">
        <v>204.0</v>
      </c>
      <c r="J13" s="29"/>
      <c r="K13" s="29"/>
      <c r="L13" s="33" t="s">
        <v>47</v>
      </c>
      <c r="M13" s="56" t="s">
        <v>219</v>
      </c>
      <c r="N13" s="32" t="s">
        <v>220</v>
      </c>
      <c r="O13" s="51" t="s">
        <v>221</v>
      </c>
    </row>
    <row r="14">
      <c r="A14" s="29" t="s">
        <v>222</v>
      </c>
      <c r="B14" s="32" t="s">
        <v>215</v>
      </c>
      <c r="C14" s="32" t="s">
        <v>163</v>
      </c>
      <c r="D14" s="38" t="s">
        <v>223</v>
      </c>
      <c r="E14" s="57" t="s">
        <v>224</v>
      </c>
      <c r="F14" s="33" t="s">
        <v>44</v>
      </c>
      <c r="G14" s="39" t="s">
        <v>225</v>
      </c>
      <c r="H14" s="39" t="s">
        <v>226</v>
      </c>
      <c r="I14" s="41">
        <v>201.0</v>
      </c>
      <c r="J14" s="33" t="s">
        <v>227</v>
      </c>
      <c r="K14" s="33" t="s">
        <v>67</v>
      </c>
      <c r="L14" s="33" t="s">
        <v>108</v>
      </c>
      <c r="M14" s="58" t="s">
        <v>228</v>
      </c>
      <c r="N14" s="40" t="s">
        <v>229</v>
      </c>
      <c r="O14" s="38" t="s">
        <v>230</v>
      </c>
    </row>
    <row r="15">
      <c r="A15" s="29" t="s">
        <v>231</v>
      </c>
      <c r="B15" s="32" t="s">
        <v>215</v>
      </c>
      <c r="C15" s="32" t="s">
        <v>163</v>
      </c>
      <c r="D15" s="38" t="s">
        <v>232</v>
      </c>
      <c r="E15" s="57" t="s">
        <v>233</v>
      </c>
      <c r="F15" s="33" t="s">
        <v>44</v>
      </c>
      <c r="G15" s="38" t="s">
        <v>234</v>
      </c>
      <c r="H15" s="38" t="s">
        <v>235</v>
      </c>
      <c r="I15" s="41">
        <v>201.0</v>
      </c>
      <c r="J15" s="33" t="s">
        <v>227</v>
      </c>
      <c r="K15" s="33" t="s">
        <v>67</v>
      </c>
      <c r="L15" s="33" t="s">
        <v>108</v>
      </c>
      <c r="M15" s="59" t="s">
        <v>236</v>
      </c>
      <c r="N15" s="40" t="s">
        <v>237</v>
      </c>
      <c r="O15" s="38" t="s">
        <v>238</v>
      </c>
    </row>
    <row r="16">
      <c r="A16" s="29" t="s">
        <v>239</v>
      </c>
      <c r="B16" s="32" t="s">
        <v>215</v>
      </c>
      <c r="C16" s="32" t="s">
        <v>163</v>
      </c>
      <c r="D16" s="60" t="s">
        <v>240</v>
      </c>
      <c r="E16" s="39" t="s">
        <v>241</v>
      </c>
      <c r="F16" s="33" t="s">
        <v>44</v>
      </c>
      <c r="G16" s="38" t="s">
        <v>242</v>
      </c>
      <c r="H16" s="38" t="s">
        <v>243</v>
      </c>
      <c r="I16" s="41">
        <v>201.0</v>
      </c>
      <c r="J16" s="33" t="s">
        <v>227</v>
      </c>
      <c r="K16" s="33" t="s">
        <v>67</v>
      </c>
      <c r="L16" s="33" t="s">
        <v>108</v>
      </c>
      <c r="M16" s="59" t="s">
        <v>244</v>
      </c>
      <c r="N16" s="41" t="s">
        <v>245</v>
      </c>
      <c r="O16" s="38" t="s">
        <v>246</v>
      </c>
    </row>
    <row r="17">
      <c r="M17" s="61"/>
    </row>
    <row r="18">
      <c r="M18" s="61"/>
    </row>
    <row r="19">
      <c r="M19" s="61"/>
    </row>
    <row r="20">
      <c r="M20" s="61"/>
    </row>
    <row r="21">
      <c r="M21" s="61"/>
    </row>
    <row r="22">
      <c r="M22" s="61"/>
    </row>
    <row r="23">
      <c r="M23" s="61"/>
    </row>
    <row r="24">
      <c r="M24" s="61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16">
      <formula1>"Critical,Major,Minor,Low,Observation"</formula1>
    </dataValidation>
    <dataValidation type="list" allowBlank="1" showErrorMessage="1" sqref="F7:F16">
      <formula1>"GET,POST,PATCH,DELETE."</formula1>
    </dataValidation>
    <dataValidation type="list" allowBlank="1" showErrorMessage="1" sqref="K7:K16">
      <formula1>"High,Medium,Law"</formula1>
    </dataValidation>
    <dataValidation type="list" allowBlank="1" showErrorMessage="1" sqref="L7:L16">
      <formula1>"Pass,Fail"</formula1>
    </dataValidation>
  </dataValidation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7.25"/>
    <col customWidth="1" min="4" max="4" width="22.88"/>
    <col customWidth="1" min="5" max="5" width="25.25"/>
    <col customWidth="1" min="6" max="6" width="16.13"/>
    <col customWidth="1" min="7" max="7" width="22.75"/>
    <col customWidth="1" min="8" max="8" width="18.0"/>
    <col customWidth="1" min="9" max="9" width="15.0"/>
    <col customWidth="1" min="13" max="13" width="21.63"/>
    <col customWidth="1" min="14" max="14" width="16.13"/>
    <col customWidth="1" min="15" max="15" width="22.38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15">
        <f>COUNTIF(H7:Z484, "PASS")</f>
        <v>7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COUNTIF(H6:L484, "Fail")</f>
        <v>6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COUNTIF(H7:H484, "WARNING")</f>
        <v>0</v>
      </c>
    </row>
    <row r="5">
      <c r="A5" s="22"/>
      <c r="B5" s="11"/>
      <c r="C5" s="23"/>
      <c r="D5" s="24" t="s">
        <v>247</v>
      </c>
      <c r="E5" s="23"/>
      <c r="F5" s="23"/>
      <c r="G5" s="23"/>
      <c r="H5" s="23"/>
      <c r="I5" s="25" t="s">
        <v>23</v>
      </c>
      <c r="J5" s="26">
        <f>SUM(J2:J3:J4)</f>
        <v>13</v>
      </c>
    </row>
    <row r="6">
      <c r="A6" s="27" t="s">
        <v>24</v>
      </c>
      <c r="B6" s="27" t="s">
        <v>25</v>
      </c>
      <c r="C6" s="27" t="s">
        <v>26</v>
      </c>
      <c r="D6" s="27" t="s">
        <v>27</v>
      </c>
      <c r="E6" s="27" t="s">
        <v>28</v>
      </c>
      <c r="F6" s="27" t="s">
        <v>29</v>
      </c>
      <c r="G6" s="27" t="s">
        <v>30</v>
      </c>
      <c r="H6" s="27" t="s">
        <v>31</v>
      </c>
      <c r="I6" s="27" t="s">
        <v>32</v>
      </c>
      <c r="J6" s="27" t="s">
        <v>33</v>
      </c>
      <c r="K6" s="27" t="s">
        <v>34</v>
      </c>
      <c r="L6" s="27" t="s">
        <v>35</v>
      </c>
      <c r="M6" s="27" t="s">
        <v>36</v>
      </c>
      <c r="N6" s="27" t="s">
        <v>37</v>
      </c>
      <c r="O6" s="27" t="s">
        <v>38</v>
      </c>
    </row>
    <row r="7">
      <c r="A7" s="29" t="s">
        <v>248</v>
      </c>
      <c r="B7" s="32" t="s">
        <v>249</v>
      </c>
      <c r="C7" s="32" t="s">
        <v>250</v>
      </c>
      <c r="D7" s="32" t="s">
        <v>251</v>
      </c>
      <c r="E7" s="54" t="s">
        <v>252</v>
      </c>
      <c r="F7" s="29" t="s">
        <v>44</v>
      </c>
      <c r="G7" s="31" t="s">
        <v>253</v>
      </c>
      <c r="H7" s="31" t="s">
        <v>167</v>
      </c>
      <c r="I7" s="32">
        <v>201.0</v>
      </c>
      <c r="J7" s="29"/>
      <c r="K7" s="29"/>
      <c r="L7" s="33" t="s">
        <v>47</v>
      </c>
      <c r="M7" s="53" t="s">
        <v>254</v>
      </c>
      <c r="N7" s="30" t="s">
        <v>255</v>
      </c>
      <c r="O7" s="30" t="s">
        <v>256</v>
      </c>
    </row>
    <row r="8">
      <c r="A8" s="32" t="s">
        <v>257</v>
      </c>
      <c r="B8" s="32" t="s">
        <v>249</v>
      </c>
      <c r="C8" s="32" t="s">
        <v>250</v>
      </c>
      <c r="D8" s="32" t="s">
        <v>258</v>
      </c>
      <c r="E8" s="54" t="s">
        <v>259</v>
      </c>
      <c r="F8" s="29" t="s">
        <v>44</v>
      </c>
      <c r="G8" s="31" t="s">
        <v>182</v>
      </c>
      <c r="H8" s="31" t="s">
        <v>260</v>
      </c>
      <c r="I8" s="32">
        <v>400.0</v>
      </c>
      <c r="J8" s="33" t="s">
        <v>56</v>
      </c>
      <c r="K8" s="33" t="s">
        <v>57</v>
      </c>
      <c r="L8" s="33" t="s">
        <v>47</v>
      </c>
      <c r="M8" s="53" t="s">
        <v>261</v>
      </c>
      <c r="N8" s="30" t="s">
        <v>262</v>
      </c>
      <c r="O8" s="30" t="s">
        <v>263</v>
      </c>
    </row>
    <row r="9">
      <c r="A9" s="32" t="s">
        <v>264</v>
      </c>
      <c r="B9" s="32" t="s">
        <v>249</v>
      </c>
      <c r="C9" s="32" t="s">
        <v>250</v>
      </c>
      <c r="D9" s="32" t="s">
        <v>265</v>
      </c>
      <c r="E9" s="54" t="s">
        <v>266</v>
      </c>
      <c r="F9" s="29" t="s">
        <v>44</v>
      </c>
      <c r="G9" s="31" t="s">
        <v>126</v>
      </c>
      <c r="H9" s="31" t="s">
        <v>126</v>
      </c>
      <c r="I9" s="32">
        <v>400.0</v>
      </c>
      <c r="J9" s="33" t="s">
        <v>56</v>
      </c>
      <c r="K9" s="33" t="s">
        <v>57</v>
      </c>
      <c r="L9" s="33" t="s">
        <v>47</v>
      </c>
      <c r="M9" s="54" t="s">
        <v>267</v>
      </c>
      <c r="N9" s="30" t="s">
        <v>268</v>
      </c>
      <c r="O9" s="30" t="s">
        <v>269</v>
      </c>
    </row>
    <row r="10">
      <c r="A10" s="32" t="s">
        <v>270</v>
      </c>
      <c r="B10" s="32" t="s">
        <v>271</v>
      </c>
      <c r="C10" s="32" t="s">
        <v>250</v>
      </c>
      <c r="D10" s="32" t="s">
        <v>272</v>
      </c>
      <c r="E10" s="54" t="s">
        <v>189</v>
      </c>
      <c r="F10" s="33" t="s">
        <v>190</v>
      </c>
      <c r="G10" s="31" t="s">
        <v>273</v>
      </c>
      <c r="H10" s="31" t="s">
        <v>274</v>
      </c>
      <c r="I10" s="32">
        <v>200.0</v>
      </c>
      <c r="J10" s="29"/>
      <c r="K10" s="29"/>
      <c r="L10" s="33" t="s">
        <v>47</v>
      </c>
      <c r="M10" s="54" t="s">
        <v>275</v>
      </c>
      <c r="N10" s="30" t="s">
        <v>276</v>
      </c>
      <c r="O10" s="30" t="s">
        <v>277</v>
      </c>
    </row>
    <row r="11">
      <c r="A11" s="32" t="s">
        <v>278</v>
      </c>
      <c r="B11" s="32" t="s">
        <v>279</v>
      </c>
      <c r="C11" s="32" t="s">
        <v>250</v>
      </c>
      <c r="D11" s="32" t="s">
        <v>280</v>
      </c>
      <c r="E11" s="54" t="s">
        <v>189</v>
      </c>
      <c r="F11" s="33" t="s">
        <v>190</v>
      </c>
      <c r="G11" s="31" t="s">
        <v>281</v>
      </c>
      <c r="H11" s="31" t="s">
        <v>282</v>
      </c>
      <c r="I11" s="32">
        <v>200.0</v>
      </c>
      <c r="J11" s="29"/>
      <c r="K11" s="29"/>
      <c r="L11" s="33" t="s">
        <v>47</v>
      </c>
      <c r="M11" s="54" t="s">
        <v>283</v>
      </c>
      <c r="N11" s="30" t="s">
        <v>284</v>
      </c>
      <c r="O11" s="30" t="s">
        <v>285</v>
      </c>
    </row>
    <row r="12">
      <c r="A12" s="32" t="s">
        <v>286</v>
      </c>
      <c r="B12" s="32" t="s">
        <v>287</v>
      </c>
      <c r="C12" s="32" t="s">
        <v>250</v>
      </c>
      <c r="D12" s="32" t="s">
        <v>288</v>
      </c>
      <c r="E12" s="54" t="s">
        <v>289</v>
      </c>
      <c r="F12" s="33" t="s">
        <v>208</v>
      </c>
      <c r="G12" s="31" t="s">
        <v>290</v>
      </c>
      <c r="H12" s="31" t="s">
        <v>291</v>
      </c>
      <c r="I12" s="32">
        <v>200.0</v>
      </c>
      <c r="J12" s="29"/>
      <c r="K12" s="29"/>
      <c r="L12" s="33" t="s">
        <v>47</v>
      </c>
      <c r="M12" s="54" t="s">
        <v>292</v>
      </c>
      <c r="N12" s="30" t="s">
        <v>293</v>
      </c>
      <c r="O12" s="30" t="s">
        <v>294</v>
      </c>
    </row>
    <row r="13">
      <c r="A13" s="32" t="s">
        <v>295</v>
      </c>
      <c r="B13" s="32" t="s">
        <v>296</v>
      </c>
      <c r="C13" s="32" t="s">
        <v>250</v>
      </c>
      <c r="D13" s="32" t="s">
        <v>297</v>
      </c>
      <c r="E13" s="54" t="s">
        <v>189</v>
      </c>
      <c r="F13" s="33" t="s">
        <v>217</v>
      </c>
      <c r="G13" s="31" t="s">
        <v>218</v>
      </c>
      <c r="H13" s="31" t="s">
        <v>218</v>
      </c>
      <c r="I13" s="32">
        <v>204.0</v>
      </c>
      <c r="J13" s="29"/>
      <c r="K13" s="29"/>
      <c r="L13" s="33" t="s">
        <v>47</v>
      </c>
      <c r="M13" s="53" t="s">
        <v>298</v>
      </c>
      <c r="N13" s="30" t="s">
        <v>299</v>
      </c>
      <c r="O13" s="30" t="s">
        <v>300</v>
      </c>
    </row>
    <row r="14">
      <c r="A14" s="32" t="s">
        <v>301</v>
      </c>
      <c r="B14" s="33" t="s">
        <v>249</v>
      </c>
      <c r="C14" s="32" t="s">
        <v>250</v>
      </c>
      <c r="D14" s="38" t="s">
        <v>302</v>
      </c>
      <c r="E14" s="57" t="s">
        <v>303</v>
      </c>
      <c r="F14" s="33" t="s">
        <v>44</v>
      </c>
      <c r="G14" s="39" t="s">
        <v>304</v>
      </c>
      <c r="H14" s="39" t="s">
        <v>305</v>
      </c>
      <c r="I14" s="40">
        <v>201.0</v>
      </c>
      <c r="J14" s="33" t="s">
        <v>66</v>
      </c>
      <c r="K14" s="33" t="s">
        <v>67</v>
      </c>
      <c r="L14" s="33" t="s">
        <v>108</v>
      </c>
      <c r="M14" s="39" t="s">
        <v>306</v>
      </c>
      <c r="N14" s="38" t="s">
        <v>307</v>
      </c>
      <c r="O14" s="38" t="s">
        <v>308</v>
      </c>
    </row>
    <row r="15">
      <c r="A15" s="32" t="s">
        <v>309</v>
      </c>
      <c r="B15" s="33" t="s">
        <v>249</v>
      </c>
      <c r="C15" s="32" t="s">
        <v>250</v>
      </c>
      <c r="D15" s="38" t="s">
        <v>310</v>
      </c>
      <c r="E15" s="57" t="s">
        <v>311</v>
      </c>
      <c r="F15" s="33" t="s">
        <v>44</v>
      </c>
      <c r="G15" s="39" t="s">
        <v>312</v>
      </c>
      <c r="H15" s="62" t="s">
        <v>313</v>
      </c>
      <c r="I15" s="40">
        <v>201.0</v>
      </c>
      <c r="J15" s="33" t="s">
        <v>66</v>
      </c>
      <c r="K15" s="33" t="s">
        <v>67</v>
      </c>
      <c r="L15" s="33" t="s">
        <v>108</v>
      </c>
      <c r="M15" s="39" t="s">
        <v>314</v>
      </c>
      <c r="N15" s="38" t="s">
        <v>315</v>
      </c>
      <c r="O15" s="39" t="s">
        <v>316</v>
      </c>
    </row>
    <row r="16">
      <c r="A16" s="32" t="s">
        <v>317</v>
      </c>
      <c r="B16" s="33" t="s">
        <v>249</v>
      </c>
      <c r="C16" s="32" t="s">
        <v>250</v>
      </c>
      <c r="D16" s="38" t="s">
        <v>318</v>
      </c>
      <c r="E16" s="57" t="s">
        <v>319</v>
      </c>
      <c r="F16" s="33" t="s">
        <v>44</v>
      </c>
      <c r="G16" s="62" t="s">
        <v>320</v>
      </c>
      <c r="H16" s="39" t="s">
        <v>321</v>
      </c>
      <c r="I16" s="40">
        <v>201.0</v>
      </c>
      <c r="J16" s="33" t="s">
        <v>227</v>
      </c>
      <c r="K16" s="33" t="s">
        <v>67</v>
      </c>
      <c r="L16" s="33" t="s">
        <v>108</v>
      </c>
      <c r="M16" s="62" t="s">
        <v>322</v>
      </c>
      <c r="N16" s="63" t="s">
        <v>323</v>
      </c>
      <c r="O16" s="38" t="s">
        <v>324</v>
      </c>
    </row>
    <row r="17">
      <c r="A17" s="32" t="s">
        <v>325</v>
      </c>
      <c r="B17" s="33" t="s">
        <v>249</v>
      </c>
      <c r="C17" s="32" t="s">
        <v>250</v>
      </c>
      <c r="D17" s="38" t="s">
        <v>326</v>
      </c>
      <c r="E17" s="57" t="s">
        <v>327</v>
      </c>
      <c r="F17" s="33" t="s">
        <v>44</v>
      </c>
      <c r="G17" s="62" t="s">
        <v>328</v>
      </c>
      <c r="H17" s="62" t="s">
        <v>329</v>
      </c>
      <c r="I17" s="40">
        <v>201.0</v>
      </c>
      <c r="J17" s="33" t="s">
        <v>67</v>
      </c>
      <c r="K17" s="33" t="s">
        <v>67</v>
      </c>
      <c r="L17" s="33" t="s">
        <v>108</v>
      </c>
      <c r="M17" s="62" t="s">
        <v>330</v>
      </c>
      <c r="N17" s="63" t="s">
        <v>331</v>
      </c>
      <c r="O17" s="38" t="s">
        <v>332</v>
      </c>
    </row>
    <row r="18">
      <c r="A18" s="32" t="s">
        <v>333</v>
      </c>
      <c r="B18" s="33" t="s">
        <v>249</v>
      </c>
      <c r="C18" s="32" t="s">
        <v>250</v>
      </c>
      <c r="D18" s="38" t="s">
        <v>334</v>
      </c>
      <c r="E18" s="57" t="s">
        <v>335</v>
      </c>
      <c r="F18" s="33" t="s">
        <v>44</v>
      </c>
      <c r="G18" s="39" t="s">
        <v>336</v>
      </c>
      <c r="H18" s="39" t="s">
        <v>337</v>
      </c>
      <c r="I18" s="40">
        <v>201.0</v>
      </c>
      <c r="J18" s="33" t="s">
        <v>67</v>
      </c>
      <c r="K18" s="33" t="s">
        <v>67</v>
      </c>
      <c r="L18" s="33" t="s">
        <v>108</v>
      </c>
      <c r="M18" s="63" t="s">
        <v>338</v>
      </c>
      <c r="N18" s="38" t="s">
        <v>339</v>
      </c>
      <c r="O18" s="38" t="s">
        <v>340</v>
      </c>
    </row>
    <row r="19">
      <c r="A19" s="32" t="s">
        <v>341</v>
      </c>
      <c r="B19" s="33" t="s">
        <v>249</v>
      </c>
      <c r="C19" s="32" t="s">
        <v>250</v>
      </c>
      <c r="D19" s="38" t="s">
        <v>342</v>
      </c>
      <c r="E19" s="57" t="s">
        <v>343</v>
      </c>
      <c r="F19" s="33" t="s">
        <v>44</v>
      </c>
      <c r="G19" s="39" t="s">
        <v>344</v>
      </c>
      <c r="H19" s="62" t="s">
        <v>345</v>
      </c>
      <c r="I19" s="40">
        <v>201.0</v>
      </c>
      <c r="J19" s="33" t="s">
        <v>56</v>
      </c>
      <c r="K19" s="33" t="s">
        <v>57</v>
      </c>
      <c r="L19" s="33" t="s">
        <v>108</v>
      </c>
      <c r="M19" s="39" t="s">
        <v>346</v>
      </c>
      <c r="N19" s="63" t="s">
        <v>347</v>
      </c>
      <c r="O19" s="38" t="s">
        <v>348</v>
      </c>
    </row>
    <row r="20">
      <c r="D20" s="43"/>
      <c r="E20" s="50"/>
      <c r="F20" s="64"/>
      <c r="G20" s="49"/>
      <c r="H20" s="49"/>
      <c r="I20" s="46"/>
      <c r="J20" s="46"/>
      <c r="K20" s="46"/>
      <c r="L20" s="46"/>
      <c r="M20" s="49"/>
      <c r="N20" s="48"/>
      <c r="O20" s="43"/>
    </row>
    <row r="21">
      <c r="D21" s="43"/>
      <c r="E21" s="50"/>
      <c r="F21" s="64"/>
      <c r="G21" s="49"/>
      <c r="H21" s="49"/>
      <c r="I21" s="46"/>
      <c r="J21" s="46"/>
      <c r="K21" s="46"/>
      <c r="L21" s="46"/>
      <c r="M21" s="49"/>
      <c r="N21" s="48"/>
      <c r="O21" s="43"/>
    </row>
    <row r="22">
      <c r="E22" s="50"/>
      <c r="F22" s="64"/>
      <c r="G22" s="49"/>
      <c r="H22" s="49"/>
      <c r="I22" s="46"/>
      <c r="J22" s="46"/>
      <c r="K22" s="46"/>
      <c r="L22" s="46"/>
      <c r="M22" s="49"/>
      <c r="N22" s="48"/>
      <c r="O22" s="43"/>
    </row>
    <row r="23">
      <c r="E23" s="50"/>
      <c r="F23" s="64"/>
      <c r="G23" s="49"/>
      <c r="H23" s="49"/>
      <c r="I23" s="46"/>
      <c r="J23" s="46"/>
      <c r="K23" s="46"/>
      <c r="L23" s="46"/>
      <c r="M23" s="49"/>
      <c r="N23" s="48"/>
      <c r="O23" s="43"/>
    </row>
    <row r="24">
      <c r="E24" s="50"/>
      <c r="F24" s="64"/>
      <c r="G24" s="49"/>
      <c r="H24" s="49"/>
      <c r="I24" s="46"/>
      <c r="J24" s="46"/>
      <c r="K24" s="46"/>
      <c r="L24" s="46"/>
      <c r="M24" s="49"/>
      <c r="N24" s="48"/>
      <c r="O24" s="43"/>
    </row>
    <row r="25">
      <c r="E25" s="50"/>
      <c r="F25" s="64"/>
      <c r="G25" s="49"/>
      <c r="H25" s="49"/>
      <c r="I25" s="46"/>
      <c r="J25" s="46"/>
      <c r="K25" s="46"/>
      <c r="L25" s="46"/>
      <c r="N25" s="48"/>
      <c r="O25" s="43"/>
    </row>
    <row r="26">
      <c r="E26" s="50"/>
      <c r="F26" s="64"/>
      <c r="I26" s="46"/>
      <c r="J26" s="46"/>
      <c r="K26" s="46"/>
      <c r="L26" s="46"/>
      <c r="N26" s="48"/>
      <c r="O26" s="43"/>
    </row>
    <row r="27">
      <c r="E27" s="50"/>
      <c r="I27" s="46"/>
      <c r="J27" s="46"/>
      <c r="K27" s="46"/>
      <c r="L27" s="46"/>
      <c r="N27" s="48"/>
      <c r="O27" s="43"/>
    </row>
    <row r="28">
      <c r="I28" s="46"/>
      <c r="J28" s="46"/>
      <c r="K28" s="46"/>
      <c r="L28" s="46"/>
      <c r="N28" s="48"/>
      <c r="O28" s="43"/>
    </row>
    <row r="29">
      <c r="I29" s="46"/>
      <c r="J29" s="46"/>
      <c r="K29" s="46"/>
      <c r="L29" s="46"/>
      <c r="N29" s="48"/>
      <c r="O29" s="43"/>
    </row>
    <row r="30">
      <c r="I30" s="46"/>
      <c r="J30" s="46"/>
      <c r="K30" s="46"/>
      <c r="L30" s="46"/>
      <c r="N30" s="48"/>
      <c r="O30" s="43"/>
    </row>
    <row r="31">
      <c r="I31" s="46"/>
      <c r="J31" s="46"/>
      <c r="K31" s="46"/>
      <c r="L31" s="46"/>
      <c r="N31" s="48"/>
      <c r="O31" s="43"/>
    </row>
    <row r="32">
      <c r="I32" s="46"/>
      <c r="J32" s="46"/>
      <c r="K32" s="46"/>
      <c r="L32" s="46"/>
      <c r="N32" s="48"/>
      <c r="O32" s="43"/>
    </row>
    <row r="33">
      <c r="N33" s="48"/>
      <c r="O33" s="43"/>
    </row>
    <row r="34">
      <c r="O34" s="43"/>
    </row>
    <row r="35">
      <c r="O35" s="43"/>
    </row>
    <row r="36">
      <c r="O36" s="43"/>
    </row>
    <row r="37">
      <c r="O37" s="43"/>
    </row>
    <row r="38">
      <c r="O38" s="43"/>
    </row>
    <row r="39">
      <c r="O39" s="43"/>
    </row>
    <row r="40">
      <c r="O40" s="43"/>
    </row>
    <row r="41">
      <c r="O41" s="43"/>
    </row>
    <row r="42">
      <c r="O42" s="43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19">
      <formula1>"Critical,Major,Minor,Low,High"</formula1>
    </dataValidation>
    <dataValidation type="list" allowBlank="1" showErrorMessage="1" sqref="F7:F19">
      <formula1>"GET,POST,PATCH,DELETE."</formula1>
    </dataValidation>
    <dataValidation type="list" allowBlank="1" showErrorMessage="1" sqref="K7:K19">
      <formula1>"High,Medium,Law"</formula1>
    </dataValidation>
    <dataValidation type="list" allowBlank="1" showErrorMessage="1" sqref="L7:L19">
      <formula1>"Pass,Fail"</formula1>
    </dataValidation>
  </dataValidations>
  <hyperlinks>
    <hyperlink r:id="rId1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8.75"/>
    <col customWidth="1" min="4" max="4" width="15.38"/>
    <col customWidth="1" min="5" max="5" width="25.25"/>
    <col customWidth="1" min="6" max="6" width="14.63"/>
    <col customWidth="1" min="7" max="7" width="23.5"/>
    <col customWidth="1" min="8" max="8" width="20.63"/>
    <col customWidth="1" min="13" max="13" width="21.75"/>
    <col customWidth="1" min="14" max="14" width="18.75"/>
    <col customWidth="1" min="15" max="15" width="18.63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15">
        <f>COUNTIF(H7:Z484, "PASS")</f>
        <v>0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COUNTIF(H6:L484, "Fail")</f>
        <v>4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COUNTIF(H7:H484, "WARNING")</f>
        <v>0</v>
      </c>
    </row>
    <row r="5">
      <c r="A5" s="65"/>
      <c r="B5" s="66"/>
      <c r="C5" s="67"/>
      <c r="D5" s="68" t="s">
        <v>349</v>
      </c>
      <c r="E5" s="67"/>
      <c r="F5" s="67"/>
      <c r="G5" s="67"/>
      <c r="H5" s="67"/>
      <c r="I5" s="69" t="s">
        <v>23</v>
      </c>
      <c r="J5" s="70">
        <f>SUM(J2:J3:J4)</f>
        <v>4</v>
      </c>
    </row>
    <row r="6">
      <c r="A6" s="71" t="s">
        <v>24</v>
      </c>
      <c r="B6" s="71" t="s">
        <v>25</v>
      </c>
      <c r="C6" s="71" t="s">
        <v>26</v>
      </c>
      <c r="D6" s="71" t="s">
        <v>27</v>
      </c>
      <c r="E6" s="71" t="s">
        <v>28</v>
      </c>
      <c r="F6" s="71" t="s">
        <v>29</v>
      </c>
      <c r="G6" s="71" t="s">
        <v>30</v>
      </c>
      <c r="H6" s="71" t="s">
        <v>31</v>
      </c>
      <c r="I6" s="71" t="s">
        <v>32</v>
      </c>
      <c r="J6" s="71" t="s">
        <v>33</v>
      </c>
      <c r="K6" s="71" t="s">
        <v>34</v>
      </c>
      <c r="L6" s="71" t="s">
        <v>35</v>
      </c>
      <c r="M6" s="71" t="s">
        <v>36</v>
      </c>
      <c r="N6" s="71" t="s">
        <v>37</v>
      </c>
      <c r="O6" s="71" t="s">
        <v>38</v>
      </c>
    </row>
    <row r="7">
      <c r="A7" s="41" t="s">
        <v>350</v>
      </c>
      <c r="B7" s="41" t="s">
        <v>40</v>
      </c>
      <c r="C7" s="33" t="s">
        <v>41</v>
      </c>
      <c r="D7" s="33" t="s">
        <v>351</v>
      </c>
      <c r="E7" s="33" t="s">
        <v>352</v>
      </c>
      <c r="F7" s="33" t="s">
        <v>44</v>
      </c>
      <c r="G7" s="33" t="s">
        <v>353</v>
      </c>
      <c r="H7" s="33" t="s">
        <v>354</v>
      </c>
      <c r="I7" s="33">
        <v>201.0</v>
      </c>
      <c r="J7" s="33" t="s">
        <v>66</v>
      </c>
      <c r="K7" s="33" t="s">
        <v>67</v>
      </c>
      <c r="L7" s="33" t="s">
        <v>108</v>
      </c>
      <c r="M7" s="38" t="s">
        <v>355</v>
      </c>
      <c r="N7" s="72" t="s">
        <v>356</v>
      </c>
      <c r="O7" s="33" t="s">
        <v>357</v>
      </c>
    </row>
    <row r="8">
      <c r="A8" s="41" t="s">
        <v>358</v>
      </c>
      <c r="B8" s="41" t="s">
        <v>359</v>
      </c>
      <c r="C8" s="40" t="s">
        <v>360</v>
      </c>
      <c r="D8" s="38" t="s">
        <v>361</v>
      </c>
      <c r="E8" s="40" t="s">
        <v>362</v>
      </c>
      <c r="F8" s="33" t="s">
        <v>44</v>
      </c>
      <c r="G8" s="41" t="s">
        <v>363</v>
      </c>
      <c r="H8" s="41" t="s">
        <v>364</v>
      </c>
      <c r="I8" s="33">
        <v>201.0</v>
      </c>
      <c r="J8" s="33" t="s">
        <v>227</v>
      </c>
      <c r="K8" s="33" t="s">
        <v>67</v>
      </c>
      <c r="L8" s="33" t="s">
        <v>108</v>
      </c>
      <c r="M8" s="39" t="s">
        <v>365</v>
      </c>
      <c r="N8" s="41" t="s">
        <v>366</v>
      </c>
      <c r="O8" s="41" t="s">
        <v>367</v>
      </c>
    </row>
    <row r="9">
      <c r="A9" s="41" t="s">
        <v>368</v>
      </c>
      <c r="B9" s="41" t="s">
        <v>359</v>
      </c>
      <c r="C9" s="40" t="s">
        <v>360</v>
      </c>
      <c r="D9" s="38" t="s">
        <v>369</v>
      </c>
      <c r="E9" s="40" t="s">
        <v>370</v>
      </c>
      <c r="F9" s="33" t="s">
        <v>44</v>
      </c>
      <c r="G9" s="41" t="s">
        <v>371</v>
      </c>
      <c r="H9" s="41" t="s">
        <v>372</v>
      </c>
      <c r="I9" s="33">
        <v>201.0</v>
      </c>
      <c r="J9" s="33" t="s">
        <v>67</v>
      </c>
      <c r="K9" s="33" t="s">
        <v>67</v>
      </c>
      <c r="L9" s="33" t="s">
        <v>108</v>
      </c>
      <c r="M9" s="62" t="s">
        <v>373</v>
      </c>
      <c r="N9" s="41" t="s">
        <v>374</v>
      </c>
      <c r="O9" s="41" t="s">
        <v>375</v>
      </c>
    </row>
    <row r="10">
      <c r="A10" s="41" t="s">
        <v>376</v>
      </c>
      <c r="B10" s="41" t="s">
        <v>359</v>
      </c>
      <c r="C10" s="40" t="s">
        <v>360</v>
      </c>
      <c r="D10" s="38" t="s">
        <v>342</v>
      </c>
      <c r="E10" s="57" t="s">
        <v>343</v>
      </c>
      <c r="F10" s="33" t="s">
        <v>44</v>
      </c>
      <c r="G10" s="39" t="s">
        <v>344</v>
      </c>
      <c r="H10" s="62" t="s">
        <v>345</v>
      </c>
      <c r="I10" s="40">
        <v>201.0</v>
      </c>
      <c r="J10" s="33" t="s">
        <v>56</v>
      </c>
      <c r="K10" s="33" t="s">
        <v>57</v>
      </c>
      <c r="L10" s="33" t="s">
        <v>108</v>
      </c>
      <c r="M10" s="39" t="s">
        <v>346</v>
      </c>
      <c r="N10" s="63" t="s">
        <v>347</v>
      </c>
      <c r="O10" s="38" t="s">
        <v>348</v>
      </c>
    </row>
    <row r="11">
      <c r="A11" s="46"/>
      <c r="B11" s="46"/>
      <c r="C11" s="45"/>
      <c r="D11" s="43"/>
      <c r="E11" s="45"/>
      <c r="G11" s="46"/>
      <c r="H11" s="46"/>
      <c r="M11" s="49"/>
      <c r="N11" s="46"/>
      <c r="O11" s="46"/>
    </row>
    <row r="12">
      <c r="B12" s="46"/>
      <c r="C12" s="45"/>
      <c r="D12" s="43"/>
      <c r="E12" s="45"/>
      <c r="G12" s="46"/>
      <c r="H12" s="46"/>
      <c r="M12" s="49"/>
      <c r="N12" s="46"/>
      <c r="O12" s="46"/>
    </row>
    <row r="13">
      <c r="B13" s="46"/>
      <c r="C13" s="45"/>
      <c r="D13" s="43"/>
      <c r="E13" s="45"/>
      <c r="G13" s="46"/>
      <c r="H13" s="46"/>
      <c r="M13" s="49"/>
      <c r="N13" s="46"/>
      <c r="O13" s="46"/>
    </row>
    <row r="14">
      <c r="B14" s="46"/>
      <c r="C14" s="45"/>
      <c r="D14" s="43"/>
      <c r="E14" s="45"/>
      <c r="G14" s="46"/>
      <c r="H14" s="46"/>
      <c r="L14" s="73" t="s">
        <v>377</v>
      </c>
      <c r="M14" s="49"/>
      <c r="N14" s="46"/>
      <c r="O14" s="46"/>
    </row>
    <row r="15">
      <c r="B15" s="46"/>
      <c r="C15" s="45"/>
      <c r="D15" s="43"/>
      <c r="E15" s="45"/>
      <c r="G15" s="46"/>
      <c r="H15" s="46"/>
      <c r="M15" s="49"/>
      <c r="N15" s="46"/>
      <c r="O15" s="46"/>
    </row>
    <row r="16">
      <c r="B16" s="46"/>
      <c r="C16" s="45"/>
      <c r="D16" s="43"/>
      <c r="E16" s="45"/>
      <c r="G16" s="46"/>
      <c r="H16" s="46"/>
      <c r="M16" s="49"/>
      <c r="N16" s="46"/>
      <c r="O16" s="46"/>
    </row>
    <row r="17">
      <c r="B17" s="46"/>
      <c r="C17" s="45"/>
      <c r="D17" s="43"/>
      <c r="E17" s="45"/>
      <c r="G17" s="46"/>
      <c r="H17" s="46"/>
      <c r="N17" s="46"/>
      <c r="O17" s="46"/>
    </row>
    <row r="18">
      <c r="B18" s="46"/>
      <c r="C18" s="45"/>
      <c r="D18" s="43"/>
      <c r="E18" s="45"/>
      <c r="G18" s="46"/>
      <c r="H18" s="46"/>
      <c r="N18" s="46"/>
      <c r="O18" s="46"/>
    </row>
    <row r="19">
      <c r="B19" s="46"/>
      <c r="C19" s="45"/>
      <c r="D19" s="43"/>
      <c r="E19" s="45"/>
      <c r="G19" s="46"/>
      <c r="H19" s="46"/>
      <c r="N19" s="46"/>
      <c r="O19" s="46"/>
    </row>
    <row r="20">
      <c r="C20" s="43"/>
      <c r="D20" s="43"/>
      <c r="E20" s="43"/>
      <c r="G20" s="46"/>
      <c r="H20" s="46"/>
      <c r="O20" s="46"/>
    </row>
    <row r="21">
      <c r="C21" s="43"/>
      <c r="D21" s="43"/>
      <c r="E21" s="43"/>
      <c r="G21" s="46"/>
      <c r="H21" s="46"/>
      <c r="O21" s="46"/>
    </row>
    <row r="22">
      <c r="G22" s="46"/>
      <c r="H22" s="46"/>
      <c r="O22" s="46"/>
    </row>
    <row r="23">
      <c r="G23" s="46"/>
      <c r="H23" s="46"/>
      <c r="O23" s="46"/>
    </row>
    <row r="24">
      <c r="G24" s="46"/>
      <c r="H24" s="46"/>
      <c r="O24" s="46"/>
    </row>
    <row r="25">
      <c r="G25" s="46"/>
      <c r="H25" s="46"/>
      <c r="O25" s="46"/>
    </row>
    <row r="26">
      <c r="O26" s="46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9">
      <formula1>"Critical,Major,Minor,Low,High,Medium"</formula1>
    </dataValidation>
    <dataValidation type="list" allowBlank="1" showErrorMessage="1" sqref="J10">
      <formula1>"Critical,Major,Minor,Low,High"</formula1>
    </dataValidation>
    <dataValidation type="list" allowBlank="1" showErrorMessage="1" sqref="F7:F10">
      <formula1>"GET,POST,PATCH,DELETE."</formula1>
    </dataValidation>
    <dataValidation type="list" allowBlank="1" showErrorMessage="1" sqref="K7:K10">
      <formula1>"High,Medium,Law"</formula1>
    </dataValidation>
    <dataValidation type="list" allowBlank="1" showErrorMessage="1" sqref="L7:L10">
      <formula1>"Pass,Fail"</formula1>
    </dataValidation>
  </dataValidations>
  <hyperlinks>
    <hyperlink r:id="rId1" ref="B1"/>
    <hyperlink r:id="rId2" ref="N7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7.75"/>
    <col customWidth="1" min="4" max="4" width="16.0"/>
    <col customWidth="1" min="5" max="5" width="25.38"/>
    <col customWidth="1" min="6" max="6" width="14.5"/>
    <col customWidth="1" min="7" max="7" width="19.88"/>
    <col customWidth="1" min="8" max="8" width="19.0"/>
    <col customWidth="1" min="13" max="13" width="21.88"/>
    <col customWidth="1" min="14" max="14" width="17.5"/>
    <col customWidth="1" min="15" max="15" width="24.0"/>
  </cols>
  <sheetData>
    <row r="1">
      <c r="A1" s="1" t="s">
        <v>0</v>
      </c>
      <c r="B1" s="2" t="s">
        <v>1</v>
      </c>
      <c r="C1" s="3" t="s">
        <v>2</v>
      </c>
      <c r="D1" s="4"/>
      <c r="E1" s="5">
        <v>45943.0</v>
      </c>
      <c r="F1" s="4"/>
      <c r="G1" s="6" t="s">
        <v>3</v>
      </c>
      <c r="H1" s="7">
        <v>45853.0</v>
      </c>
      <c r="I1" s="3" t="s">
        <v>4</v>
      </c>
      <c r="J1" s="4"/>
    </row>
    <row r="2">
      <c r="A2" s="8" t="s">
        <v>5</v>
      </c>
      <c r="B2" s="9" t="s">
        <v>6</v>
      </c>
      <c r="C2" s="10" t="s">
        <v>7</v>
      </c>
      <c r="D2" s="11"/>
      <c r="E2" s="12" t="s">
        <v>8</v>
      </c>
      <c r="F2" s="11"/>
      <c r="G2" s="13" t="s">
        <v>9</v>
      </c>
      <c r="H2" s="14"/>
      <c r="I2" s="13" t="s">
        <v>10</v>
      </c>
      <c r="J2" s="15">
        <f>COUNTIF(H7:Z484, "PASS")</f>
        <v>0</v>
      </c>
    </row>
    <row r="3">
      <c r="A3" s="10" t="s">
        <v>11</v>
      </c>
      <c r="B3" s="16"/>
      <c r="C3" s="10" t="s">
        <v>12</v>
      </c>
      <c r="D3" s="11"/>
      <c r="E3" s="17" t="s">
        <v>13</v>
      </c>
      <c r="F3" s="11"/>
      <c r="G3" s="13" t="s">
        <v>14</v>
      </c>
      <c r="H3" s="18" t="s">
        <v>15</v>
      </c>
      <c r="I3" s="13" t="s">
        <v>16</v>
      </c>
      <c r="J3" s="19">
        <f>COUNTIF(H6:L484, "Fail")</f>
        <v>4</v>
      </c>
    </row>
    <row r="4">
      <c r="A4" s="8" t="s">
        <v>17</v>
      </c>
      <c r="B4" s="9" t="s">
        <v>18</v>
      </c>
      <c r="C4" s="10" t="s">
        <v>19</v>
      </c>
      <c r="D4" s="11"/>
      <c r="E4" s="17" t="s">
        <v>13</v>
      </c>
      <c r="F4" s="11"/>
      <c r="G4" s="13" t="s">
        <v>20</v>
      </c>
      <c r="H4" s="20"/>
      <c r="I4" s="13" t="s">
        <v>21</v>
      </c>
      <c r="J4" s="21">
        <f>COUNTIF(H7:H484, "WARNING")</f>
        <v>0</v>
      </c>
    </row>
    <row r="5">
      <c r="A5" s="65"/>
      <c r="B5" s="66"/>
      <c r="C5" s="67"/>
      <c r="D5" s="68" t="s">
        <v>378</v>
      </c>
      <c r="E5" s="67"/>
      <c r="F5" s="67"/>
      <c r="G5" s="67"/>
      <c r="H5" s="67"/>
      <c r="I5" s="69" t="s">
        <v>23</v>
      </c>
      <c r="J5" s="70">
        <f>SUM(J2:J3:J4)</f>
        <v>4</v>
      </c>
    </row>
    <row r="6">
      <c r="A6" s="71" t="s">
        <v>24</v>
      </c>
      <c r="B6" s="71" t="s">
        <v>25</v>
      </c>
      <c r="C6" s="71" t="s">
        <v>26</v>
      </c>
      <c r="D6" s="71" t="s">
        <v>27</v>
      </c>
      <c r="E6" s="71" t="s">
        <v>28</v>
      </c>
      <c r="F6" s="71" t="s">
        <v>29</v>
      </c>
      <c r="G6" s="71" t="s">
        <v>30</v>
      </c>
      <c r="H6" s="71" t="s">
        <v>31</v>
      </c>
      <c r="I6" s="71" t="s">
        <v>32</v>
      </c>
      <c r="J6" s="71" t="s">
        <v>33</v>
      </c>
      <c r="K6" s="71" t="s">
        <v>34</v>
      </c>
      <c r="L6" s="71" t="s">
        <v>35</v>
      </c>
      <c r="M6" s="71" t="s">
        <v>36</v>
      </c>
      <c r="N6" s="71" t="s">
        <v>37</v>
      </c>
      <c r="O6" s="71" t="s">
        <v>38</v>
      </c>
    </row>
    <row r="7">
      <c r="A7" s="33" t="s">
        <v>379</v>
      </c>
      <c r="B7" s="63" t="s">
        <v>380</v>
      </c>
      <c r="C7" s="33" t="s">
        <v>381</v>
      </c>
      <c r="D7" s="33" t="s">
        <v>382</v>
      </c>
      <c r="E7" s="33" t="s">
        <v>383</v>
      </c>
      <c r="F7" s="33" t="s">
        <v>44</v>
      </c>
      <c r="G7" s="33" t="s">
        <v>384</v>
      </c>
      <c r="H7" s="33" t="s">
        <v>385</v>
      </c>
      <c r="I7" s="33">
        <v>201.0</v>
      </c>
      <c r="J7" s="33" t="s">
        <v>227</v>
      </c>
      <c r="K7" s="33" t="s">
        <v>67</v>
      </c>
      <c r="L7" s="33" t="s">
        <v>108</v>
      </c>
      <c r="M7" s="56" t="s">
        <v>386</v>
      </c>
      <c r="N7" s="33" t="s">
        <v>387</v>
      </c>
      <c r="O7" s="33" t="s">
        <v>388</v>
      </c>
    </row>
    <row r="8">
      <c r="A8" s="33" t="s">
        <v>389</v>
      </c>
      <c r="B8" s="63" t="s">
        <v>380</v>
      </c>
      <c r="C8" s="33" t="s">
        <v>381</v>
      </c>
      <c r="D8" s="40" t="s">
        <v>390</v>
      </c>
      <c r="E8" s="40" t="s">
        <v>391</v>
      </c>
      <c r="F8" s="33" t="s">
        <v>44</v>
      </c>
      <c r="G8" s="40" t="s">
        <v>392</v>
      </c>
      <c r="H8" s="40" t="s">
        <v>393</v>
      </c>
      <c r="I8" s="33">
        <v>201.0</v>
      </c>
      <c r="J8" s="33" t="s">
        <v>67</v>
      </c>
      <c r="K8" s="33" t="s">
        <v>67</v>
      </c>
      <c r="L8" s="33" t="s">
        <v>108</v>
      </c>
      <c r="M8" s="58" t="s">
        <v>394</v>
      </c>
      <c r="N8" s="40" t="s">
        <v>395</v>
      </c>
      <c r="O8" s="40" t="s">
        <v>396</v>
      </c>
    </row>
    <row r="9">
      <c r="A9" s="33" t="s">
        <v>397</v>
      </c>
      <c r="B9" s="63" t="s">
        <v>380</v>
      </c>
      <c r="C9" s="33" t="s">
        <v>381</v>
      </c>
      <c r="D9" s="40" t="s">
        <v>398</v>
      </c>
      <c r="E9" s="40" t="s">
        <v>399</v>
      </c>
      <c r="F9" s="33" t="s">
        <v>44</v>
      </c>
      <c r="G9" s="40" t="s">
        <v>400</v>
      </c>
      <c r="H9" s="40" t="s">
        <v>401</v>
      </c>
      <c r="I9" s="33">
        <v>201.0</v>
      </c>
      <c r="J9" s="33" t="s">
        <v>57</v>
      </c>
      <c r="K9" s="33" t="s">
        <v>57</v>
      </c>
      <c r="L9" s="33" t="s">
        <v>108</v>
      </c>
      <c r="M9" s="59" t="s">
        <v>402</v>
      </c>
      <c r="N9" s="40" t="s">
        <v>403</v>
      </c>
      <c r="O9" s="40" t="s">
        <v>404</v>
      </c>
    </row>
    <row r="10">
      <c r="A10" s="33" t="s">
        <v>405</v>
      </c>
      <c r="B10" s="63" t="s">
        <v>406</v>
      </c>
      <c r="C10" s="41" t="s">
        <v>407</v>
      </c>
      <c r="D10" s="40" t="s">
        <v>408</v>
      </c>
      <c r="E10" s="40" t="s">
        <v>409</v>
      </c>
      <c r="F10" s="33" t="s">
        <v>208</v>
      </c>
      <c r="G10" s="40" t="s">
        <v>410</v>
      </c>
      <c r="H10" s="40" t="s">
        <v>411</v>
      </c>
      <c r="I10" s="41">
        <v>200.0</v>
      </c>
      <c r="J10" s="33" t="s">
        <v>412</v>
      </c>
      <c r="K10" s="33" t="s">
        <v>57</v>
      </c>
      <c r="L10" s="33" t="s">
        <v>108</v>
      </c>
      <c r="M10" s="59" t="s">
        <v>413</v>
      </c>
      <c r="N10" s="40" t="s">
        <v>414</v>
      </c>
      <c r="O10" s="40" t="s">
        <v>377</v>
      </c>
    </row>
    <row r="11">
      <c r="B11" s="48"/>
      <c r="D11" s="45"/>
      <c r="E11" s="45"/>
      <c r="F11" s="64"/>
      <c r="G11" s="45"/>
      <c r="H11" s="45"/>
      <c r="I11" s="46"/>
      <c r="J11" s="64"/>
      <c r="K11" s="64"/>
      <c r="L11" s="64"/>
      <c r="M11" s="74"/>
      <c r="N11" s="45"/>
      <c r="O11" s="45"/>
    </row>
    <row r="12">
      <c r="B12" s="48"/>
      <c r="D12" s="45"/>
      <c r="E12" s="45"/>
      <c r="F12" s="64"/>
      <c r="G12" s="45"/>
      <c r="H12" s="45"/>
      <c r="I12" s="46"/>
      <c r="J12" s="64"/>
      <c r="K12" s="64"/>
      <c r="L12" s="64"/>
      <c r="M12" s="74"/>
      <c r="N12" s="45"/>
      <c r="O12" s="45"/>
    </row>
    <row r="13">
      <c r="B13" s="48"/>
      <c r="D13" s="45"/>
      <c r="E13" s="45"/>
      <c r="F13" s="64"/>
      <c r="G13" s="45"/>
      <c r="H13" s="45"/>
      <c r="I13" s="46"/>
      <c r="J13" s="64"/>
      <c r="K13" s="64"/>
      <c r="L13" s="64"/>
      <c r="M13" s="74"/>
      <c r="N13" s="45"/>
      <c r="O13" s="45"/>
    </row>
    <row r="14">
      <c r="B14" s="48"/>
      <c r="D14" s="45"/>
      <c r="E14" s="45"/>
      <c r="F14" s="64"/>
      <c r="G14" s="45"/>
      <c r="H14" s="45"/>
      <c r="I14" s="46"/>
      <c r="J14" s="64"/>
      <c r="K14" s="64"/>
      <c r="L14" s="64"/>
      <c r="M14" s="75"/>
      <c r="N14" s="45"/>
      <c r="O14" s="45"/>
    </row>
    <row r="15">
      <c r="B15" s="48"/>
      <c r="D15" s="45"/>
      <c r="E15" s="45"/>
      <c r="F15" s="64"/>
      <c r="G15" s="45"/>
      <c r="H15" s="45"/>
      <c r="I15" s="46"/>
      <c r="J15" s="64"/>
      <c r="K15" s="64"/>
      <c r="L15" s="64"/>
      <c r="M15" s="75"/>
      <c r="N15" s="45"/>
      <c r="O15" s="45"/>
    </row>
    <row r="16">
      <c r="B16" s="48"/>
      <c r="D16" s="45"/>
      <c r="E16" s="45"/>
      <c r="G16" s="45"/>
      <c r="H16" s="45"/>
      <c r="I16" s="46"/>
      <c r="J16" s="64"/>
      <c r="K16" s="64"/>
      <c r="L16" s="64"/>
      <c r="M16" s="75"/>
      <c r="N16" s="45"/>
      <c r="O16" s="45"/>
    </row>
    <row r="17">
      <c r="B17" s="48"/>
      <c r="D17" s="45"/>
      <c r="E17" s="45"/>
      <c r="G17" s="45"/>
      <c r="H17" s="45"/>
      <c r="I17" s="46"/>
      <c r="J17" s="64"/>
      <c r="K17" s="64"/>
      <c r="L17" s="64"/>
      <c r="M17" s="75"/>
      <c r="N17" s="45"/>
      <c r="O17" s="45"/>
    </row>
    <row r="18">
      <c r="B18" s="48"/>
      <c r="D18" s="46"/>
      <c r="E18" s="45"/>
      <c r="G18" s="45"/>
      <c r="H18" s="45"/>
      <c r="I18" s="46"/>
      <c r="J18" s="64"/>
      <c r="K18" s="64"/>
      <c r="L18" s="64"/>
      <c r="M18" s="75"/>
      <c r="N18" s="45"/>
      <c r="O18" s="45"/>
    </row>
    <row r="19">
      <c r="B19" s="48"/>
      <c r="D19" s="46"/>
      <c r="E19" s="45"/>
      <c r="G19" s="45"/>
      <c r="H19" s="45"/>
      <c r="I19" s="46"/>
      <c r="M19" s="75"/>
      <c r="N19" s="45"/>
      <c r="O19" s="45"/>
    </row>
    <row r="20">
      <c r="B20" s="48"/>
      <c r="D20" s="46"/>
      <c r="E20" s="45"/>
      <c r="G20" s="45"/>
      <c r="H20" s="45"/>
      <c r="I20" s="46"/>
      <c r="M20" s="75"/>
      <c r="N20" s="45"/>
      <c r="O20" s="45"/>
    </row>
    <row r="21">
      <c r="B21" s="48"/>
      <c r="D21" s="46"/>
      <c r="E21" s="45"/>
      <c r="G21" s="45"/>
      <c r="H21" s="45"/>
      <c r="I21" s="46"/>
      <c r="M21" s="75"/>
      <c r="N21" s="45"/>
      <c r="O21" s="45"/>
    </row>
    <row r="22">
      <c r="B22" s="48"/>
      <c r="D22" s="46"/>
      <c r="E22" s="45"/>
      <c r="G22" s="45"/>
      <c r="H22" s="45"/>
      <c r="I22" s="46"/>
      <c r="M22" s="75"/>
      <c r="N22" s="45"/>
      <c r="O22" s="45"/>
    </row>
    <row r="23">
      <c r="B23" s="48"/>
      <c r="D23" s="46"/>
      <c r="E23" s="45"/>
      <c r="G23" s="45"/>
      <c r="H23" s="45"/>
      <c r="I23" s="46"/>
      <c r="M23" s="75"/>
      <c r="N23" s="45"/>
      <c r="O23" s="45"/>
    </row>
    <row r="24">
      <c r="D24" s="46"/>
      <c r="E24" s="45"/>
      <c r="G24" s="45"/>
      <c r="H24" s="45"/>
      <c r="I24" s="46"/>
      <c r="M24" s="75"/>
      <c r="N24" s="45"/>
      <c r="O24" s="45"/>
    </row>
    <row r="25">
      <c r="D25" s="46"/>
      <c r="E25" s="45"/>
      <c r="G25" s="45"/>
      <c r="H25" s="45"/>
      <c r="I25" s="46"/>
      <c r="M25" s="75"/>
      <c r="N25" s="45"/>
      <c r="O25" s="45"/>
    </row>
    <row r="26">
      <c r="D26" s="46"/>
      <c r="E26" s="45"/>
      <c r="H26" s="45"/>
      <c r="I26" s="46"/>
      <c r="N26" s="45"/>
      <c r="O26" s="45"/>
    </row>
    <row r="27">
      <c r="E27" s="45"/>
      <c r="H27" s="45"/>
      <c r="I27" s="46"/>
      <c r="N27" s="45"/>
      <c r="O27" s="45"/>
    </row>
    <row r="28">
      <c r="I28" s="46"/>
      <c r="N28" s="45"/>
      <c r="O28" s="45"/>
    </row>
    <row r="29">
      <c r="I29" s="46"/>
      <c r="N29" s="45"/>
      <c r="O29" s="45"/>
    </row>
    <row r="30">
      <c r="I30" s="46"/>
      <c r="N30" s="45"/>
      <c r="O30" s="45"/>
    </row>
    <row r="31">
      <c r="I31" s="46"/>
      <c r="N31" s="45"/>
      <c r="O31" s="45"/>
    </row>
    <row r="32">
      <c r="I32" s="46"/>
      <c r="N32" s="45"/>
      <c r="O32" s="45"/>
    </row>
    <row r="33">
      <c r="I33" s="46"/>
    </row>
  </sheetData>
  <mergeCells count="10">
    <mergeCell ref="C4:D4"/>
    <mergeCell ref="E4:F4"/>
    <mergeCell ref="A5:B5"/>
    <mergeCell ref="C1:D1"/>
    <mergeCell ref="E1:F1"/>
    <mergeCell ref="I1:J1"/>
    <mergeCell ref="C2:D2"/>
    <mergeCell ref="E2:F2"/>
    <mergeCell ref="C3:D3"/>
    <mergeCell ref="E3:F3"/>
  </mergeCells>
  <dataValidations>
    <dataValidation type="list" allowBlank="1" showErrorMessage="1" sqref="J7:J10">
      <formula1>"Critical,Major,Minor,Low,High,Medium"</formula1>
    </dataValidation>
    <dataValidation type="list" allowBlank="1" showErrorMessage="1" sqref="F7:F10">
      <formula1>"GET,POST,PATCH,DELETE."</formula1>
    </dataValidation>
    <dataValidation type="list" allowBlank="1" showErrorMessage="1" sqref="K7:K10">
      <formula1>"High,Medium,Law"</formula1>
    </dataValidation>
    <dataValidation type="list" allowBlank="1" showErrorMessage="1" sqref="L7:L10">
      <formula1>"Pass,Fail"</formula1>
    </dataValidation>
  </dataValidations>
  <hyperlinks>
    <hyperlink r:id="rId1" ref="B1"/>
  </hyperlinks>
  <drawing r:id="rId2"/>
</worksheet>
</file>